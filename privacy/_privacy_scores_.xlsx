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egle\AppData\Local\Temp\BvSshSftp\Bv006df5\Bv001917\"/>
    </mc:Choice>
  </mc:AlternateContent>
  <xr:revisionPtr revIDLastSave="0" documentId="13_ncr:1_{C965D53C-D6C7-4B5E-A344-094EC4761F19}" xr6:coauthVersionLast="47" xr6:coauthVersionMax="47" xr10:uidLastSave="{00000000-0000-0000-0000-000000000000}"/>
  <bookViews>
    <workbookView xWindow="-28920" yWindow="-171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C70" i="1"/>
  <c r="B70" i="1" s="1"/>
  <c r="N51" i="1"/>
  <c r="N48" i="1"/>
  <c r="O65" i="1"/>
  <c r="N65" i="1"/>
  <c r="M65" i="1"/>
  <c r="O64" i="1"/>
  <c r="N64" i="1"/>
  <c r="M64" i="1"/>
  <c r="O63" i="1"/>
  <c r="N63" i="1"/>
  <c r="M6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K3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M51" i="1"/>
  <c r="O50" i="1"/>
  <c r="N50" i="1"/>
  <c r="M50" i="1"/>
  <c r="O49" i="1"/>
  <c r="N49" i="1"/>
  <c r="M49" i="1"/>
  <c r="O48" i="1"/>
  <c r="M48" i="1"/>
  <c r="N69" i="1" l="1"/>
  <c r="M44" i="1"/>
  <c r="M69" i="1"/>
  <c r="O69" i="1"/>
  <c r="C71" i="1"/>
  <c r="L44" i="1"/>
  <c r="K44" i="1"/>
  <c r="B71" i="1" l="1"/>
  <c r="C72" i="1"/>
  <c r="C73" i="1" l="1"/>
  <c r="B72" i="1"/>
  <c r="C74" i="1" l="1"/>
  <c r="B73" i="1"/>
  <c r="C75" i="1" l="1"/>
  <c r="B74" i="1"/>
  <c r="C76" i="1" l="1"/>
  <c r="B75" i="1"/>
  <c r="C77" i="1" l="1"/>
  <c r="B76" i="1"/>
  <c r="C78" i="1" l="1"/>
  <c r="B77" i="1"/>
  <c r="C79" i="1" l="1"/>
  <c r="B78" i="1"/>
  <c r="C80" i="1" l="1"/>
  <c r="B79" i="1"/>
  <c r="C81" i="1" l="1"/>
  <c r="B80" i="1"/>
  <c r="C82" i="1" l="1"/>
  <c r="B81" i="1"/>
  <c r="C83" i="1" l="1"/>
  <c r="B82" i="1"/>
  <c r="C84" i="1" l="1"/>
  <c r="B83" i="1"/>
  <c r="C85" i="1" l="1"/>
  <c r="B84" i="1"/>
  <c r="C86" i="1" l="1"/>
  <c r="B85" i="1"/>
  <c r="C87" i="1" l="1"/>
  <c r="B86" i="1"/>
  <c r="C88" i="1" l="1"/>
  <c r="B87" i="1"/>
  <c r="C89" i="1" l="1"/>
  <c r="B88" i="1"/>
  <c r="C90" i="1" l="1"/>
  <c r="B89" i="1"/>
  <c r="C91" i="1" l="1"/>
  <c r="B90" i="1"/>
  <c r="C92" i="1" l="1"/>
  <c r="B91" i="1"/>
  <c r="C93" i="1" l="1"/>
  <c r="B92" i="1"/>
  <c r="C94" i="1" l="1"/>
  <c r="B93" i="1"/>
  <c r="C95" i="1" l="1"/>
  <c r="B94" i="1"/>
  <c r="C96" i="1" l="1"/>
  <c r="B95" i="1"/>
  <c r="C97" i="1" l="1"/>
  <c r="B96" i="1"/>
  <c r="C98" i="1" l="1"/>
  <c r="B97" i="1"/>
  <c r="C99" i="1" l="1"/>
  <c r="B98" i="1"/>
  <c r="C100" i="1" l="1"/>
  <c r="B99" i="1"/>
  <c r="C101" i="1" l="1"/>
  <c r="B100" i="1"/>
  <c r="C102" i="1" l="1"/>
  <c r="B101" i="1"/>
  <c r="C103" i="1" l="1"/>
  <c r="B102" i="1"/>
  <c r="C104" i="1" l="1"/>
  <c r="B103" i="1"/>
  <c r="C105" i="1" l="1"/>
  <c r="B104" i="1"/>
  <c r="C106" i="1" l="1"/>
  <c r="B105" i="1"/>
  <c r="C107" i="1" l="1"/>
  <c r="B106" i="1"/>
  <c r="B107" i="1" l="1"/>
  <c r="C108" i="1"/>
  <c r="C109" i="1" l="1"/>
  <c r="B108" i="1"/>
  <c r="C110" i="1" l="1"/>
  <c r="B109" i="1"/>
  <c r="C111" i="1" l="1"/>
  <c r="B110" i="1"/>
  <c r="C112" i="1" l="1"/>
  <c r="B111" i="1"/>
  <c r="C113" i="1" l="1"/>
  <c r="B112" i="1"/>
  <c r="C114" i="1" l="1"/>
  <c r="B113" i="1"/>
  <c r="C115" i="1" l="1"/>
  <c r="B114" i="1"/>
  <c r="C116" i="1" l="1"/>
  <c r="B115" i="1"/>
  <c r="C117" i="1" l="1"/>
  <c r="B116" i="1"/>
  <c r="C118" i="1" l="1"/>
  <c r="B117" i="1"/>
  <c r="C119" i="1" l="1"/>
  <c r="B118" i="1"/>
  <c r="C120" i="1" l="1"/>
  <c r="B119" i="1"/>
  <c r="C121" i="1" l="1"/>
  <c r="B120" i="1"/>
  <c r="C122" i="1" l="1"/>
  <c r="B121" i="1"/>
  <c r="C123" i="1" l="1"/>
  <c r="B122" i="1"/>
  <c r="C124" i="1" l="1"/>
  <c r="B123" i="1"/>
  <c r="C125" i="1" l="1"/>
  <c r="B124" i="1"/>
  <c r="C126" i="1" l="1"/>
  <c r="B125" i="1"/>
  <c r="C127" i="1" l="1"/>
  <c r="B126" i="1"/>
  <c r="C128" i="1" l="1"/>
  <c r="B127" i="1"/>
  <c r="C129" i="1" l="1"/>
  <c r="B128" i="1"/>
  <c r="C130" i="1" l="1"/>
  <c r="B129" i="1"/>
  <c r="C131" i="1" l="1"/>
  <c r="B130" i="1"/>
  <c r="C132" i="1" l="1"/>
  <c r="B132" i="1" s="1"/>
  <c r="B131" i="1"/>
</calcChain>
</file>

<file path=xl/sharedStrings.xml><?xml version="1.0" encoding="utf-8"?>
<sst xmlns="http://schemas.openxmlformats.org/spreadsheetml/2006/main" count="201" uniqueCount="158">
  <si>
    <t>Dataset</t>
  </si>
  <si>
    <t>Fetal-health</t>
  </si>
  <si>
    <t>Feature Type</t>
  </si>
  <si>
    <t>Categorical</t>
  </si>
  <si>
    <t>Feature</t>
  </si>
  <si>
    <t>histogram_tendency</t>
  </si>
  <si>
    <t>Value</t>
  </si>
  <si>
    <t>F1-scores</t>
  </si>
  <si>
    <t>MRR-scores</t>
  </si>
  <si>
    <t>histogram_number_of_zeroes</t>
  </si>
  <si>
    <t>histogram_number_of_peaks</t>
  </si>
  <si>
    <t>Continuous</t>
  </si>
  <si>
    <t>baseline_value</t>
  </si>
  <si>
    <t>Stdev</t>
  </si>
  <si>
    <t>abnormal_short_term_variability</t>
  </si>
  <si>
    <t>Min</t>
  </si>
  <si>
    <t>Max</t>
  </si>
  <si>
    <t>Avg</t>
  </si>
  <si>
    <t>Frequency</t>
  </si>
  <si>
    <t>Stats</t>
  </si>
  <si>
    <t>DS</t>
  </si>
  <si>
    <t>DS+Syn</t>
  </si>
  <si>
    <t>DS+Emb</t>
  </si>
  <si>
    <t>DS+Syn+Emb</t>
  </si>
  <si>
    <t>Stroke</t>
  </si>
  <si>
    <t>smoking_status</t>
  </si>
  <si>
    <t>never smoked</t>
  </si>
  <si>
    <t>work_type</t>
  </si>
  <si>
    <t>Govt_job</t>
  </si>
  <si>
    <t>heart_disease</t>
  </si>
  <si>
    <t>hypertension</t>
  </si>
  <si>
    <t>age</t>
  </si>
  <si>
    <t>avg_glucose_level</t>
  </si>
  <si>
    <t>bmi</t>
  </si>
  <si>
    <t>Avila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</si>
  <si>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</si>
  <si>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</si>
  <si>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</si>
  <si>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</si>
  <si>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</si>
  <si>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</si>
  <si>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</si>
  <si>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</si>
  <si>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</si>
  <si>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F0</t>
  </si>
  <si>
    <t>FH-ASTV</t>
  </si>
  <si>
    <t>FH-BV</t>
  </si>
  <si>
    <t>St-AGE</t>
  </si>
  <si>
    <t>St-AGL</t>
  </si>
  <si>
    <t>St-BMI</t>
  </si>
  <si>
    <t>Avl-F1</t>
  </si>
  <si>
    <t>Avl-F0</t>
  </si>
  <si>
    <t>Avl-F2</t>
  </si>
  <si>
    <t>Avl-F3</t>
  </si>
  <si>
    <t>Avl-F4</t>
  </si>
  <si>
    <t>Avl-F5</t>
  </si>
  <si>
    <t>Avl-F6</t>
  </si>
  <si>
    <t>Avl-F7</t>
  </si>
  <si>
    <t>Avl-F8</t>
  </si>
  <si>
    <t>Avl-F9</t>
  </si>
  <si>
    <t>Infant Health</t>
  </si>
  <si>
    <t>BirthAsphyxia</t>
  </si>
  <si>
    <t>yes</t>
  </si>
  <si>
    <t>HypDistrib</t>
  </si>
  <si>
    <t>Unequal</t>
  </si>
  <si>
    <t>HypoxiaInO2</t>
  </si>
  <si>
    <t>Mild</t>
  </si>
  <si>
    <t>CO2</t>
  </si>
  <si>
    <t>High</t>
  </si>
  <si>
    <t>ChestXray</t>
  </si>
  <si>
    <t>Plethoric</t>
  </si>
  <si>
    <t>Grunting</t>
  </si>
  <si>
    <t>LVHreport</t>
  </si>
  <si>
    <t>LowerBodyO2</t>
  </si>
  <si>
    <t>12+</t>
  </si>
  <si>
    <t>RUQO2</t>
  </si>
  <si>
    <t>CO2Report</t>
  </si>
  <si>
    <t>&gt;=7.5</t>
  </si>
  <si>
    <t>XrayReport</t>
  </si>
  <si>
    <t>Asy/Patchy</t>
  </si>
  <si>
    <t>Disease</t>
  </si>
  <si>
    <t>TAPVD</t>
  </si>
  <si>
    <t>GruntingReport</t>
  </si>
  <si>
    <t>Age</t>
  </si>
  <si>
    <t>4-10_days</t>
  </si>
  <si>
    <t>LVH</t>
  </si>
  <si>
    <t>DuctFlow</t>
  </si>
  <si>
    <t>Rt_to_Lt</t>
  </si>
  <si>
    <t>CardiacMixing</t>
  </si>
  <si>
    <t>LungParench</t>
  </si>
  <si>
    <t>Abnormal</t>
  </si>
  <si>
    <t>LungFlow</t>
  </si>
  <si>
    <t>FH-HT</t>
  </si>
  <si>
    <t>FH-HNZ</t>
  </si>
  <si>
    <t>FH-HNP</t>
  </si>
  <si>
    <t>St-SS</t>
  </si>
  <si>
    <t>St-WT</t>
  </si>
  <si>
    <t>St-HD</t>
  </si>
  <si>
    <t>St-HT</t>
  </si>
  <si>
    <t>IH-BA</t>
  </si>
  <si>
    <t>IH-HD</t>
  </si>
  <si>
    <t>IH-HO2</t>
  </si>
  <si>
    <t>IH-CO2</t>
  </si>
  <si>
    <t>IH-Age</t>
  </si>
  <si>
    <t>IH-LVH</t>
  </si>
  <si>
    <t>IH-CXR</t>
  </si>
  <si>
    <t>IH-Gr</t>
  </si>
  <si>
    <t>IH-LB02</t>
  </si>
  <si>
    <t>IH-RUQO2</t>
  </si>
  <si>
    <t>IH-CO2R</t>
  </si>
  <si>
    <t>IH-XRR</t>
  </si>
  <si>
    <t>IH-Dis</t>
  </si>
  <si>
    <t>IH-GR</t>
  </si>
  <si>
    <t>IH-LVHR</t>
  </si>
  <si>
    <t>IH-DF</t>
  </si>
  <si>
    <t>IH-CM</t>
  </si>
  <si>
    <t>IH-LP</t>
  </si>
  <si>
    <t>IH-LF</t>
  </si>
  <si>
    <t>Genetic Disorder</t>
  </si>
  <si>
    <t>Patient Age</t>
  </si>
  <si>
    <t>Blood cell count (mcL)</t>
  </si>
  <si>
    <t>White Blood cell count (thousand per microliter)</t>
  </si>
  <si>
    <t>GD-PA</t>
  </si>
  <si>
    <t>GD-BCC</t>
  </si>
  <si>
    <t>GD-WBCC</t>
  </si>
  <si>
    <t>Respiratory Rate (breaths/min)</t>
  </si>
  <si>
    <t>Tachypnea</t>
  </si>
  <si>
    <t>Heart Rate (rates/min</t>
  </si>
  <si>
    <t>Tachycardia</t>
  </si>
  <si>
    <t>Follow-up</t>
  </si>
  <si>
    <t>Birth asphyxia</t>
  </si>
  <si>
    <t>Yes</t>
  </si>
  <si>
    <t>Autopsy shows birth defect (if applicable)</t>
  </si>
  <si>
    <t>Folic acid details (peri-conceptional)</t>
  </si>
  <si>
    <t>H/O serious maternal illness</t>
  </si>
  <si>
    <t>H/O radiation exposure (x-ray)</t>
  </si>
  <si>
    <t>H/O substance abuse</t>
  </si>
  <si>
    <t>Assisted conception IVF/ART</t>
  </si>
  <si>
    <t>History of anomalies in previous pregnancies</t>
  </si>
  <si>
    <t>No. of previous abortion</t>
  </si>
  <si>
    <t>Birth defects</t>
  </si>
  <si>
    <t>Multiple</t>
  </si>
  <si>
    <t>Blood test result</t>
  </si>
  <si>
    <t>abnormal</t>
  </si>
  <si>
    <t>GD-RR</t>
  </si>
  <si>
    <t>GD-HR</t>
  </si>
  <si>
    <t>GD-FU</t>
  </si>
  <si>
    <t>GD-BA</t>
  </si>
  <si>
    <t>GD-ABD</t>
  </si>
  <si>
    <t>GD-FA</t>
  </si>
  <si>
    <t>GD-SMI</t>
  </si>
  <si>
    <t>GD-RE</t>
  </si>
  <si>
    <t>GD-SA</t>
  </si>
  <si>
    <t>GD-AC</t>
  </si>
  <si>
    <t>GD-HA</t>
  </si>
  <si>
    <t>GD-BD</t>
  </si>
  <si>
    <t>GD-BTR</t>
  </si>
  <si>
    <t>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</si>
</sst>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5" fillId="3" borderId="1" applyNumberFormat="0" applyAlignment="0" applyProtection="0"/>
  </cellStyleXfs>
  <cellXfs count="22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164" fontId="2" fillId="0" borderId="0" xfId="1" applyNumberFormat="1" applyFont="1"/>
    <xf numFmtId="165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/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5" fontId="5" fillId="3" borderId="1" xfId="3" applyNumberFormat="1"/>
    <xf numFmtId="165" fontId="0" fillId="0" borderId="0" xfId="1" applyNumberFormat="1" applyFont="1"/>
    <xf numFmtId="165" fontId="2" fillId="0" borderId="0" xfId="1" applyNumberFormat="1" applyFont="1"/>
    <xf numFmtId="165" fontId="2" fillId="0" borderId="0" xfId="1" applyNumberFormat="1" applyFont="1" applyFill="1"/>
    <xf numFmtId="0" fontId="3" fillId="2" borderId="1" xfId="2" applyAlignment="1">
      <alignment horizontal="center"/>
    </xf>
    <xf numFmtId="165" fontId="3" fillId="2" borderId="1" xfId="2" applyNumberFormat="1" applyAlignment="1">
      <alignment horizontal="center"/>
    </xf>
    <xf numFmtId="165" fontId="0" fillId="4" borderId="0" xfId="1" applyNumberFormat="1" applyFont="1" applyFill="1"/>
    <xf numFmtId="165" fontId="0" fillId="4" borderId="0" xfId="0" applyNumberFormat="1" applyFill="1"/>
  </cellXfs>
  <cellStyles count="4">
    <cellStyle name="Calculation" xfId="2" builtinId="22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Sheet1!$H$47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Sheet1!$C$48:$C$65</c:f>
              <c:strCache>
                <c:ptCount val="18"/>
                <c:pt idx="0">
                  <c:v>FH-BV</c:v>
                </c:pt>
                <c:pt idx="1">
                  <c:v>FH-ASTV</c:v>
                </c:pt>
                <c:pt idx="2">
                  <c:v>St-AGE</c:v>
                </c:pt>
                <c:pt idx="3">
                  <c:v>St-AGL</c:v>
                </c:pt>
                <c:pt idx="4">
                  <c:v>St-BMI</c:v>
                </c:pt>
                <c:pt idx="5">
                  <c:v>Avl-F1</c:v>
                </c:pt>
                <c:pt idx="6">
                  <c:v>Avl-F2</c:v>
                </c:pt>
                <c:pt idx="7">
                  <c:v>Avl-F3</c:v>
                </c:pt>
                <c:pt idx="8">
                  <c:v>Avl-F4</c:v>
                </c:pt>
                <c:pt idx="9">
                  <c:v>Avl-F5</c:v>
                </c:pt>
                <c:pt idx="10">
                  <c:v>Avl-F6</c:v>
                </c:pt>
                <c:pt idx="11">
                  <c:v>Avl-F7</c:v>
                </c:pt>
                <c:pt idx="12">
                  <c:v>Avl-F8</c:v>
                </c:pt>
                <c:pt idx="13">
                  <c:v>Avl-F9</c:v>
                </c:pt>
                <c:pt idx="14">
                  <c:v>Avl-F0</c:v>
                </c:pt>
                <c:pt idx="15">
                  <c:v>GD-PA</c:v>
                </c:pt>
                <c:pt idx="16">
                  <c:v>GD-BCC</c:v>
                </c:pt>
                <c:pt idx="17">
                  <c:v>GD-WBCC</c:v>
                </c:pt>
              </c:strCache>
            </c:strRef>
          </c:cat>
          <c:val>
            <c:numRef>
              <c:f>Sheet1!$H$48:$H$65</c:f>
              <c:numCache>
                <c:formatCode>0.0000</c:formatCode>
                <c:ptCount val="18"/>
                <c:pt idx="0">
                  <c:v>0.85854017835728302</c:v>
                </c:pt>
                <c:pt idx="1">
                  <c:v>0.84657057352768295</c:v>
                </c:pt>
                <c:pt idx="2">
                  <c:v>0.71263753069636304</c:v>
                </c:pt>
                <c:pt idx="3">
                  <c:v>0.64837752075543498</c:v>
                </c:pt>
                <c:pt idx="4">
                  <c:v>0.64341227847768401</c:v>
                </c:pt>
                <c:pt idx="5">
                  <c:v>0.99300345932108802</c:v>
                </c:pt>
                <c:pt idx="6">
                  <c:v>0.99682105912191099</c:v>
                </c:pt>
                <c:pt idx="7">
                  <c:v>0.99131618727898196</c:v>
                </c:pt>
                <c:pt idx="8">
                  <c:v>0.87067179230448</c:v>
                </c:pt>
                <c:pt idx="9">
                  <c:v>0.98889229755712005</c:v>
                </c:pt>
                <c:pt idx="10">
                  <c:v>0.96516796880047995</c:v>
                </c:pt>
                <c:pt idx="11">
                  <c:v>0.94596143722858805</c:v>
                </c:pt>
                <c:pt idx="12">
                  <c:v>0.77260915572267097</c:v>
                </c:pt>
                <c:pt idx="13">
                  <c:v>0.81430498782953098</c:v>
                </c:pt>
                <c:pt idx="14">
                  <c:v>0.96590725297370195</c:v>
                </c:pt>
                <c:pt idx="15">
                  <c:v>0.577932661937967</c:v>
                </c:pt>
                <c:pt idx="16">
                  <c:v>0.60702278909864305</c:v>
                </c:pt>
                <c:pt idx="17">
                  <c:v>0.58882720730358395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9-4A4E-B05D-55A458BA6F28}"/>
            </c:ext>
          </c:extLst>
        </c:ser>
        <c:ser>
          <c:idx val="1"/>
          <c:order val="1"/>
          <c:tx>
            <c:strRef>
              <c:f>Sheet1!$I$47</c:f>
              <c:strCache>
                <c:ptCount val="1"/>
                <c:pt idx="0">
                  <c:v>DS+Syn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Sheet1!$C$48:$C$65</c:f>
              <c:strCache>
                <c:ptCount val="18"/>
                <c:pt idx="0">
                  <c:v>FH-BV</c:v>
                </c:pt>
                <c:pt idx="1">
                  <c:v>FH-ASTV</c:v>
                </c:pt>
                <c:pt idx="2">
                  <c:v>St-AGE</c:v>
                </c:pt>
                <c:pt idx="3">
                  <c:v>St-AGL</c:v>
                </c:pt>
                <c:pt idx="4">
                  <c:v>St-BMI</c:v>
                </c:pt>
                <c:pt idx="5">
                  <c:v>Avl-F1</c:v>
                </c:pt>
                <c:pt idx="6">
                  <c:v>Avl-F2</c:v>
                </c:pt>
                <c:pt idx="7">
                  <c:v>Avl-F3</c:v>
                </c:pt>
                <c:pt idx="8">
                  <c:v>Avl-F4</c:v>
                </c:pt>
                <c:pt idx="9">
                  <c:v>Avl-F5</c:v>
                </c:pt>
                <c:pt idx="10">
                  <c:v>Avl-F6</c:v>
                </c:pt>
                <c:pt idx="11">
                  <c:v>Avl-F7</c:v>
                </c:pt>
                <c:pt idx="12">
                  <c:v>Avl-F8</c:v>
                </c:pt>
                <c:pt idx="13">
                  <c:v>Avl-F9</c:v>
                </c:pt>
                <c:pt idx="14">
                  <c:v>Avl-F0</c:v>
                </c:pt>
                <c:pt idx="15">
                  <c:v>GD-PA</c:v>
                </c:pt>
                <c:pt idx="16">
                  <c:v>GD-BCC</c:v>
                </c:pt>
                <c:pt idx="17">
                  <c:v>GD-WBCC</c:v>
                </c:pt>
              </c:strCache>
            </c:strRef>
          </c:cat>
          <c:val>
            <c:numRef>
              <c:f>Sheet1!$I$48:$I$65</c:f>
              <c:numCache>
                <c:formatCode>0.0000</c:formatCode>
                <c:ptCount val="18"/>
                <c:pt idx="0">
                  <c:v>0.70582944088975297</c:v>
                </c:pt>
                <c:pt idx="1">
                  <c:v>0.68420356392860304</c:v>
                </c:pt>
                <c:pt idx="2">
                  <c:v>0.84832515995699398</c:v>
                </c:pt>
                <c:pt idx="3">
                  <c:v>0.85653987573947299</c:v>
                </c:pt>
                <c:pt idx="4">
                  <c:v>0.65689275408006798</c:v>
                </c:pt>
                <c:pt idx="5">
                  <c:v>0.99805888435204904</c:v>
                </c:pt>
                <c:pt idx="6">
                  <c:v>0.99792537079235899</c:v>
                </c:pt>
                <c:pt idx="7">
                  <c:v>0.99426634732761299</c:v>
                </c:pt>
                <c:pt idx="8">
                  <c:v>0.877651512339371</c:v>
                </c:pt>
                <c:pt idx="9">
                  <c:v>0.99761626831170003</c:v>
                </c:pt>
                <c:pt idx="10">
                  <c:v>0.724894787051096</c:v>
                </c:pt>
                <c:pt idx="11">
                  <c:v>0.83765266068881195</c:v>
                </c:pt>
                <c:pt idx="12">
                  <c:v>0.71773744370613701</c:v>
                </c:pt>
                <c:pt idx="13">
                  <c:v>0.74298514896786505</c:v>
                </c:pt>
                <c:pt idx="14">
                  <c:v>0.87994655298620605</c:v>
                </c:pt>
                <c:pt idx="15">
                  <c:v>0.613791765332101</c:v>
                </c:pt>
                <c:pt idx="16">
                  <c:v>0.61627703701876702</c:v>
                </c:pt>
                <c:pt idx="17">
                  <c:v>0.621768348137133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9-4A4E-B05D-55A458BA6F28}"/>
            </c:ext>
          </c:extLst>
        </c:ser>
        <c:ser>
          <c:idx val="2"/>
          <c:order val="2"/>
          <c:tx>
            <c:strRef>
              <c:f>Sheet1!$J$47</c:f>
              <c:strCache>
                <c:ptCount val="1"/>
                <c:pt idx="0">
                  <c:v>DS+Emb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12700"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Sheet1!$C$48:$C$65</c:f>
              <c:strCache>
                <c:ptCount val="18"/>
                <c:pt idx="0">
                  <c:v>FH-BV</c:v>
                </c:pt>
                <c:pt idx="1">
                  <c:v>FH-ASTV</c:v>
                </c:pt>
                <c:pt idx="2">
                  <c:v>St-AGE</c:v>
                </c:pt>
                <c:pt idx="3">
                  <c:v>St-AGL</c:v>
                </c:pt>
                <c:pt idx="4">
                  <c:v>St-BMI</c:v>
                </c:pt>
                <c:pt idx="5">
                  <c:v>Avl-F1</c:v>
                </c:pt>
                <c:pt idx="6">
                  <c:v>Avl-F2</c:v>
                </c:pt>
                <c:pt idx="7">
                  <c:v>Avl-F3</c:v>
                </c:pt>
                <c:pt idx="8">
                  <c:v>Avl-F4</c:v>
                </c:pt>
                <c:pt idx="9">
                  <c:v>Avl-F5</c:v>
                </c:pt>
                <c:pt idx="10">
                  <c:v>Avl-F6</c:v>
                </c:pt>
                <c:pt idx="11">
                  <c:v>Avl-F7</c:v>
                </c:pt>
                <c:pt idx="12">
                  <c:v>Avl-F8</c:v>
                </c:pt>
                <c:pt idx="13">
                  <c:v>Avl-F9</c:v>
                </c:pt>
                <c:pt idx="14">
                  <c:v>Avl-F0</c:v>
                </c:pt>
                <c:pt idx="15">
                  <c:v>GD-PA</c:v>
                </c:pt>
                <c:pt idx="16">
                  <c:v>GD-BCC</c:v>
                </c:pt>
                <c:pt idx="17">
                  <c:v>GD-WBCC</c:v>
                </c:pt>
              </c:strCache>
            </c:strRef>
          </c:cat>
          <c:val>
            <c:numRef>
              <c:f>Sheet1!$J$48:$J$65</c:f>
              <c:numCache>
                <c:formatCode>0.0000</c:formatCode>
                <c:ptCount val="18"/>
                <c:pt idx="0">
                  <c:v>0.66492562201487204</c:v>
                </c:pt>
                <c:pt idx="1">
                  <c:v>0.61399060784340598</c:v>
                </c:pt>
                <c:pt idx="2">
                  <c:v>0.70786462621613899</c:v>
                </c:pt>
                <c:pt idx="3">
                  <c:v>0.71137649225258603</c:v>
                </c:pt>
                <c:pt idx="4">
                  <c:v>0.660433175249585</c:v>
                </c:pt>
                <c:pt idx="5">
                  <c:v>0.87699560103308605</c:v>
                </c:pt>
                <c:pt idx="6">
                  <c:v>0.95040565723794301</c:v>
                </c:pt>
                <c:pt idx="7">
                  <c:v>0.86969762453569399</c:v>
                </c:pt>
                <c:pt idx="8">
                  <c:v>0.69859517119361703</c:v>
                </c:pt>
                <c:pt idx="9">
                  <c:v>0.91516954422798102</c:v>
                </c:pt>
                <c:pt idx="10">
                  <c:v>0.724894787051096</c:v>
                </c:pt>
                <c:pt idx="11">
                  <c:v>0.84394667767186304</c:v>
                </c:pt>
                <c:pt idx="12">
                  <c:v>0.70050895094390597</c:v>
                </c:pt>
                <c:pt idx="13">
                  <c:v>0.76747215148974202</c:v>
                </c:pt>
                <c:pt idx="14">
                  <c:v>0.88288401864209298</c:v>
                </c:pt>
                <c:pt idx="15">
                  <c:v>0.72231483872879998</c:v>
                </c:pt>
                <c:pt idx="16">
                  <c:v>0.72217296375115902</c:v>
                </c:pt>
                <c:pt idx="17">
                  <c:v>0.74116952866458996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9-4A4E-B05D-55A458BA6F28}"/>
            </c:ext>
          </c:extLst>
        </c:ser>
        <c:ser>
          <c:idx val="3"/>
          <c:order val="3"/>
          <c:tx>
            <c:strRef>
              <c:f>Sheet1!$K$47</c:f>
              <c:strCache>
                <c:ptCount val="1"/>
                <c:pt idx="0">
                  <c:v>DS+Syn+Emb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Sheet1!$C$48:$C$65</c:f>
              <c:strCache>
                <c:ptCount val="18"/>
                <c:pt idx="0">
                  <c:v>FH-BV</c:v>
                </c:pt>
                <c:pt idx="1">
                  <c:v>FH-ASTV</c:v>
                </c:pt>
                <c:pt idx="2">
                  <c:v>St-AGE</c:v>
                </c:pt>
                <c:pt idx="3">
                  <c:v>St-AGL</c:v>
                </c:pt>
                <c:pt idx="4">
                  <c:v>St-BMI</c:v>
                </c:pt>
                <c:pt idx="5">
                  <c:v>Avl-F1</c:v>
                </c:pt>
                <c:pt idx="6">
                  <c:v>Avl-F2</c:v>
                </c:pt>
                <c:pt idx="7">
                  <c:v>Avl-F3</c:v>
                </c:pt>
                <c:pt idx="8">
                  <c:v>Avl-F4</c:v>
                </c:pt>
                <c:pt idx="9">
                  <c:v>Avl-F5</c:v>
                </c:pt>
                <c:pt idx="10">
                  <c:v>Avl-F6</c:v>
                </c:pt>
                <c:pt idx="11">
                  <c:v>Avl-F7</c:v>
                </c:pt>
                <c:pt idx="12">
                  <c:v>Avl-F8</c:v>
                </c:pt>
                <c:pt idx="13">
                  <c:v>Avl-F9</c:v>
                </c:pt>
                <c:pt idx="14">
                  <c:v>Avl-F0</c:v>
                </c:pt>
                <c:pt idx="15">
                  <c:v>GD-PA</c:v>
                </c:pt>
                <c:pt idx="16">
                  <c:v>GD-BCC</c:v>
                </c:pt>
                <c:pt idx="17">
                  <c:v>GD-WBCC</c:v>
                </c:pt>
              </c:strCache>
            </c:strRef>
          </c:cat>
          <c:val>
            <c:numRef>
              <c:f>Sheet1!$K$48:$K$65</c:f>
              <c:numCache>
                <c:formatCode>0.0000</c:formatCode>
                <c:ptCount val="18"/>
                <c:pt idx="0">
                  <c:v>0.64485797439450399</c:v>
                </c:pt>
                <c:pt idx="1">
                  <c:v>0.63083949269872397</c:v>
                </c:pt>
                <c:pt idx="2">
                  <c:v>0.85718721480962401</c:v>
                </c:pt>
                <c:pt idx="3">
                  <c:v>0.84509438219609301</c:v>
                </c:pt>
                <c:pt idx="4">
                  <c:v>0.68769165853494596</c:v>
                </c:pt>
                <c:pt idx="5">
                  <c:v>0.99805195254166501</c:v>
                </c:pt>
                <c:pt idx="6">
                  <c:v>0.99791804684229901</c:v>
                </c:pt>
                <c:pt idx="7">
                  <c:v>0.99442282760504797</c:v>
                </c:pt>
                <c:pt idx="8">
                  <c:v>0.876150227833701</c:v>
                </c:pt>
                <c:pt idx="9">
                  <c:v>0.99761173118771995</c:v>
                </c:pt>
                <c:pt idx="10">
                  <c:v>0.72562754950980202</c:v>
                </c:pt>
                <c:pt idx="11">
                  <c:v>0.83761797655819104</c:v>
                </c:pt>
                <c:pt idx="12">
                  <c:v>0.71576279962838196</c:v>
                </c:pt>
                <c:pt idx="13">
                  <c:v>0.74337317810690395</c:v>
                </c:pt>
                <c:pt idx="14">
                  <c:v>0.88100325524582201</c:v>
                </c:pt>
                <c:pt idx="15">
                  <c:v>0.73894110475786801</c:v>
                </c:pt>
                <c:pt idx="16">
                  <c:v>0.73129980171040299</c:v>
                </c:pt>
                <c:pt idx="17">
                  <c:v>0.76032710109469104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39-4A4E-B05D-55A458BA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925407"/>
        <c:axId val="2101924447"/>
      </c:barChart>
      <c:catAx>
        <c:axId val="21019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24447"/>
        <c:crosses val="autoZero"/>
        <c:auto val="1"/>
        <c:lblAlgn val="ctr"/>
        <c:lblOffset val="100"/>
        <c:noMultiLvlLbl val="0"/>
      </c:catAx>
      <c:valAx>
        <c:axId val="2101924447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2540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Sheet1!$C$3:$C$42</c:f>
              <c:strCache>
                <c:ptCount val="40"/>
                <c:pt idx="0">
                  <c:v>FH-HT</c:v>
                </c:pt>
                <c:pt idx="1">
                  <c:v>FH-HNZ</c:v>
                </c:pt>
                <c:pt idx="2">
                  <c:v>FH-HNP</c:v>
                </c:pt>
                <c:pt idx="3">
                  <c:v>St-SS</c:v>
                </c:pt>
                <c:pt idx="4">
                  <c:v>St-WT</c:v>
                </c:pt>
                <c:pt idx="5">
                  <c:v>St-HD</c:v>
                </c:pt>
                <c:pt idx="6">
                  <c:v>St-HT</c:v>
                </c:pt>
                <c:pt idx="7">
                  <c:v>IH-BA</c:v>
                </c:pt>
                <c:pt idx="8">
                  <c:v>IH-HD</c:v>
                </c:pt>
                <c:pt idx="9">
                  <c:v>IH-HO2</c:v>
                </c:pt>
                <c:pt idx="10">
                  <c:v>IH-CO2</c:v>
                </c:pt>
                <c:pt idx="11">
                  <c:v>IH-CXR</c:v>
                </c:pt>
                <c:pt idx="12">
                  <c:v>IH-Gr</c:v>
                </c:pt>
                <c:pt idx="13">
                  <c:v>IH-LVHR</c:v>
                </c:pt>
                <c:pt idx="14">
                  <c:v>IH-LB02</c:v>
                </c:pt>
                <c:pt idx="15">
                  <c:v>IH-RUQO2</c:v>
                </c:pt>
                <c:pt idx="16">
                  <c:v>IH-CO2R</c:v>
                </c:pt>
                <c:pt idx="17">
                  <c:v>IH-XRR</c:v>
                </c:pt>
                <c:pt idx="18">
                  <c:v>IH-Dis</c:v>
                </c:pt>
                <c:pt idx="19">
                  <c:v>IH-GR</c:v>
                </c:pt>
                <c:pt idx="20">
                  <c:v>IH-Age</c:v>
                </c:pt>
                <c:pt idx="21">
                  <c:v>IH-LVH</c:v>
                </c:pt>
                <c:pt idx="22">
                  <c:v>IH-DF</c:v>
                </c:pt>
                <c:pt idx="23">
                  <c:v>IH-CM</c:v>
                </c:pt>
                <c:pt idx="24">
                  <c:v>IH-LP</c:v>
                </c:pt>
                <c:pt idx="25">
                  <c:v>IH-LF</c:v>
                </c:pt>
                <c:pt idx="26">
                  <c:v>GD-RR</c:v>
                </c:pt>
                <c:pt idx="27">
                  <c:v>GD-HR</c:v>
                </c:pt>
                <c:pt idx="28">
                  <c:v>GD-FU</c:v>
                </c:pt>
                <c:pt idx="29">
                  <c:v>GD-BA</c:v>
                </c:pt>
                <c:pt idx="30">
                  <c:v>GD-ABD</c:v>
                </c:pt>
                <c:pt idx="31">
                  <c:v>GD-FA</c:v>
                </c:pt>
                <c:pt idx="32">
                  <c:v>GD-SMI</c:v>
                </c:pt>
                <c:pt idx="33">
                  <c:v>GD-RE</c:v>
                </c:pt>
                <c:pt idx="34">
                  <c:v>GD-SA</c:v>
                </c:pt>
                <c:pt idx="35">
                  <c:v>GD-AC</c:v>
                </c:pt>
                <c:pt idx="36">
                  <c:v>GD-HA</c:v>
                </c:pt>
                <c:pt idx="37">
                  <c:v>GD-PA</c:v>
                </c:pt>
                <c:pt idx="38">
                  <c:v>GD-BD</c:v>
                </c:pt>
                <c:pt idx="39">
                  <c:v>GD-BTR</c:v>
                </c:pt>
              </c:strCache>
            </c:strRef>
          </c:cat>
          <c:val>
            <c:numRef>
              <c:f>Sheet1!$F$3:$F$42</c:f>
              <c:numCache>
                <c:formatCode>0.0000</c:formatCode>
                <c:ptCount val="40"/>
                <c:pt idx="0">
                  <c:v>0.88970588235294101</c:v>
                </c:pt>
                <c:pt idx="1">
                  <c:v>0.481012658227848</c:v>
                </c:pt>
                <c:pt idx="2">
                  <c:v>0.25925925925925902</c:v>
                </c:pt>
                <c:pt idx="3">
                  <c:v>0.57086614173228301</c:v>
                </c:pt>
                <c:pt idx="4">
                  <c:v>0.27604166666666602</c:v>
                </c:pt>
                <c:pt idx="5">
                  <c:v>0.14705882352941099</c:v>
                </c:pt>
                <c:pt idx="6">
                  <c:v>0.27040816326530598</c:v>
                </c:pt>
                <c:pt idx="7">
                  <c:v>2.4489795918367301E-2</c:v>
                </c:pt>
                <c:pt idx="8">
                  <c:v>8.3538083538083494E-2</c:v>
                </c:pt>
                <c:pt idx="9">
                  <c:v>0.206540447504302</c:v>
                </c:pt>
                <c:pt idx="10">
                  <c:v>0.25608194622279101</c:v>
                </c:pt>
                <c:pt idx="11">
                  <c:v>0.47732696897374699</c:v>
                </c:pt>
                <c:pt idx="12">
                  <c:v>0.30134158926728499</c:v>
                </c:pt>
                <c:pt idx="13">
                  <c:v>0.43525179856115098</c:v>
                </c:pt>
                <c:pt idx="14">
                  <c:v>0.19234042553191399</c:v>
                </c:pt>
                <c:pt idx="15">
                  <c:v>0.18455915943353099</c:v>
                </c:pt>
                <c:pt idx="16">
                  <c:v>0.29436038514442903</c:v>
                </c:pt>
                <c:pt idx="17">
                  <c:v>0.334194659776055</c:v>
                </c:pt>
                <c:pt idx="18">
                  <c:v>0.19256017505470399</c:v>
                </c:pt>
                <c:pt idx="19">
                  <c:v>0.32874828060522698</c:v>
                </c:pt>
                <c:pt idx="20">
                  <c:v>0.29464606539705301</c:v>
                </c:pt>
                <c:pt idx="21">
                  <c:v>0.47180301826846699</c:v>
                </c:pt>
                <c:pt idx="22">
                  <c:v>0.28837209302325501</c:v>
                </c:pt>
                <c:pt idx="23">
                  <c:v>0.14171122994652399</c:v>
                </c:pt>
                <c:pt idx="24">
                  <c:v>0.26865671641791</c:v>
                </c:pt>
                <c:pt idx="25">
                  <c:v>0.54660452729693698</c:v>
                </c:pt>
                <c:pt idx="26">
                  <c:v>0.60766495456341296</c:v>
                </c:pt>
                <c:pt idx="27">
                  <c:v>0.62458471760797296</c:v>
                </c:pt>
                <c:pt idx="28">
                  <c:v>0.62078431372549003</c:v>
                </c:pt>
                <c:pt idx="29">
                  <c:v>0.35259975816203099</c:v>
                </c:pt>
                <c:pt idx="30">
                  <c:v>0.47593582887700497</c:v>
                </c:pt>
                <c:pt idx="31">
                  <c:v>0.62677840576885602</c:v>
                </c:pt>
                <c:pt idx="32">
                  <c:v>0.61420421011213799</c:v>
                </c:pt>
                <c:pt idx="33">
                  <c:v>0.384633186762323</c:v>
                </c:pt>
                <c:pt idx="34">
                  <c:v>0.36207297234487001</c:v>
                </c:pt>
                <c:pt idx="35">
                  <c:v>0.62355928892361701</c:v>
                </c:pt>
                <c:pt idx="36">
                  <c:v>0.62570704115467102</c:v>
                </c:pt>
                <c:pt idx="37">
                  <c:v>0.30554216867469802</c:v>
                </c:pt>
                <c:pt idx="38">
                  <c:v>0.62397179788484103</c:v>
                </c:pt>
                <c:pt idx="39">
                  <c:v>0.38200183654729097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7-41EC-BCB2-5449EA2E8A72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DS+Syn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Sheet1!$C$3:$C$42</c:f>
              <c:strCache>
                <c:ptCount val="40"/>
                <c:pt idx="0">
                  <c:v>FH-HT</c:v>
                </c:pt>
                <c:pt idx="1">
                  <c:v>FH-HNZ</c:v>
                </c:pt>
                <c:pt idx="2">
                  <c:v>FH-HNP</c:v>
                </c:pt>
                <c:pt idx="3">
                  <c:v>St-SS</c:v>
                </c:pt>
                <c:pt idx="4">
                  <c:v>St-WT</c:v>
                </c:pt>
                <c:pt idx="5">
                  <c:v>St-HD</c:v>
                </c:pt>
                <c:pt idx="6">
                  <c:v>St-HT</c:v>
                </c:pt>
                <c:pt idx="7">
                  <c:v>IH-BA</c:v>
                </c:pt>
                <c:pt idx="8">
                  <c:v>IH-HD</c:v>
                </c:pt>
                <c:pt idx="9">
                  <c:v>IH-HO2</c:v>
                </c:pt>
                <c:pt idx="10">
                  <c:v>IH-CO2</c:v>
                </c:pt>
                <c:pt idx="11">
                  <c:v>IH-CXR</c:v>
                </c:pt>
                <c:pt idx="12">
                  <c:v>IH-Gr</c:v>
                </c:pt>
                <c:pt idx="13">
                  <c:v>IH-LVHR</c:v>
                </c:pt>
                <c:pt idx="14">
                  <c:v>IH-LB02</c:v>
                </c:pt>
                <c:pt idx="15">
                  <c:v>IH-RUQO2</c:v>
                </c:pt>
                <c:pt idx="16">
                  <c:v>IH-CO2R</c:v>
                </c:pt>
                <c:pt idx="17">
                  <c:v>IH-XRR</c:v>
                </c:pt>
                <c:pt idx="18">
                  <c:v>IH-Dis</c:v>
                </c:pt>
                <c:pt idx="19">
                  <c:v>IH-GR</c:v>
                </c:pt>
                <c:pt idx="20">
                  <c:v>IH-Age</c:v>
                </c:pt>
                <c:pt idx="21">
                  <c:v>IH-LVH</c:v>
                </c:pt>
                <c:pt idx="22">
                  <c:v>IH-DF</c:v>
                </c:pt>
                <c:pt idx="23">
                  <c:v>IH-CM</c:v>
                </c:pt>
                <c:pt idx="24">
                  <c:v>IH-LP</c:v>
                </c:pt>
                <c:pt idx="25">
                  <c:v>IH-LF</c:v>
                </c:pt>
                <c:pt idx="26">
                  <c:v>GD-RR</c:v>
                </c:pt>
                <c:pt idx="27">
                  <c:v>GD-HR</c:v>
                </c:pt>
                <c:pt idx="28">
                  <c:v>GD-FU</c:v>
                </c:pt>
                <c:pt idx="29">
                  <c:v>GD-BA</c:v>
                </c:pt>
                <c:pt idx="30">
                  <c:v>GD-ABD</c:v>
                </c:pt>
                <c:pt idx="31">
                  <c:v>GD-FA</c:v>
                </c:pt>
                <c:pt idx="32">
                  <c:v>GD-SMI</c:v>
                </c:pt>
                <c:pt idx="33">
                  <c:v>GD-RE</c:v>
                </c:pt>
                <c:pt idx="34">
                  <c:v>GD-SA</c:v>
                </c:pt>
                <c:pt idx="35">
                  <c:v>GD-AC</c:v>
                </c:pt>
                <c:pt idx="36">
                  <c:v>GD-HA</c:v>
                </c:pt>
                <c:pt idx="37">
                  <c:v>GD-PA</c:v>
                </c:pt>
                <c:pt idx="38">
                  <c:v>GD-BD</c:v>
                </c:pt>
                <c:pt idx="39">
                  <c:v>GD-BTR</c:v>
                </c:pt>
              </c:strCache>
            </c:strRef>
          </c:cat>
          <c:val>
            <c:numRef>
              <c:f>Sheet1!$G$3:$G$42</c:f>
              <c:numCache>
                <c:formatCode>0.0000</c:formatCode>
                <c:ptCount val="40"/>
                <c:pt idx="0">
                  <c:v>0.84666666666666601</c:v>
                </c:pt>
                <c:pt idx="1">
                  <c:v>0.41176470588235198</c:v>
                </c:pt>
                <c:pt idx="2">
                  <c:v>0.253164556962025</c:v>
                </c:pt>
                <c:pt idx="3">
                  <c:v>0.56618357487922699</c:v>
                </c:pt>
                <c:pt idx="4">
                  <c:v>0.28451882845188198</c:v>
                </c:pt>
                <c:pt idx="5">
                  <c:v>0.35668789808917101</c:v>
                </c:pt>
                <c:pt idx="6">
                  <c:v>0.32191780821917798</c:v>
                </c:pt>
                <c:pt idx="7">
                  <c:v>1.6806722689075598E-2</c:v>
                </c:pt>
                <c:pt idx="8">
                  <c:v>6.8965517241379296E-2</c:v>
                </c:pt>
                <c:pt idx="9">
                  <c:v>0.25037257824143</c:v>
                </c:pt>
                <c:pt idx="10">
                  <c:v>0.26039978390059398</c:v>
                </c:pt>
                <c:pt idx="11">
                  <c:v>0.95322580645161203</c:v>
                </c:pt>
                <c:pt idx="12">
                  <c:v>0.32473444613050001</c:v>
                </c:pt>
                <c:pt idx="13">
                  <c:v>0.464446444644464</c:v>
                </c:pt>
                <c:pt idx="14">
                  <c:v>0.17564208782104301</c:v>
                </c:pt>
                <c:pt idx="15">
                  <c:v>0.20707329574577099</c:v>
                </c:pt>
                <c:pt idx="16">
                  <c:v>0.32263513513513498</c:v>
                </c:pt>
                <c:pt idx="17">
                  <c:v>0.63559322033898302</c:v>
                </c:pt>
                <c:pt idx="18">
                  <c:v>0.30107526881720398</c:v>
                </c:pt>
                <c:pt idx="19">
                  <c:v>0.313694267515923</c:v>
                </c:pt>
                <c:pt idx="20">
                  <c:v>0.33729216152018998</c:v>
                </c:pt>
                <c:pt idx="21">
                  <c:v>0.48289345063538602</c:v>
                </c:pt>
                <c:pt idx="22">
                  <c:v>0.37960339943342702</c:v>
                </c:pt>
                <c:pt idx="23">
                  <c:v>0.31336405529953898</c:v>
                </c:pt>
                <c:pt idx="24">
                  <c:v>0.354243542435424</c:v>
                </c:pt>
                <c:pt idx="25">
                  <c:v>0.91409691629955903</c:v>
                </c:pt>
                <c:pt idx="26">
                  <c:v>0.61743912018853098</c:v>
                </c:pt>
                <c:pt idx="27">
                  <c:v>0.61353797717434</c:v>
                </c:pt>
                <c:pt idx="28">
                  <c:v>0.620540964327714</c:v>
                </c:pt>
                <c:pt idx="29">
                  <c:v>0.38905775075987797</c:v>
                </c:pt>
                <c:pt idx="30">
                  <c:v>0.45930488341399001</c:v>
                </c:pt>
                <c:pt idx="31">
                  <c:v>0.62236121970289204</c:v>
                </c:pt>
                <c:pt idx="32">
                  <c:v>0.61795325083480601</c:v>
                </c:pt>
                <c:pt idx="33">
                  <c:v>0.387820512820512</c:v>
                </c:pt>
                <c:pt idx="34">
                  <c:v>0.34492481203007003</c:v>
                </c:pt>
                <c:pt idx="35">
                  <c:v>0.62280181782256405</c:v>
                </c:pt>
                <c:pt idx="36">
                  <c:v>0.62697638102674202</c:v>
                </c:pt>
                <c:pt idx="37">
                  <c:v>0.33957335655202397</c:v>
                </c:pt>
                <c:pt idx="38">
                  <c:v>0.62221353148220504</c:v>
                </c:pt>
                <c:pt idx="39">
                  <c:v>0.35404016814572598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7-41EC-BCB2-5449EA2E8A72}"/>
            </c:ext>
          </c:extLst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DS+Emb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12700"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Sheet1!$C$3:$C$42</c:f>
              <c:strCache>
                <c:ptCount val="40"/>
                <c:pt idx="0">
                  <c:v>FH-HT</c:v>
                </c:pt>
                <c:pt idx="1">
                  <c:v>FH-HNZ</c:v>
                </c:pt>
                <c:pt idx="2">
                  <c:v>FH-HNP</c:v>
                </c:pt>
                <c:pt idx="3">
                  <c:v>St-SS</c:v>
                </c:pt>
                <c:pt idx="4">
                  <c:v>St-WT</c:v>
                </c:pt>
                <c:pt idx="5">
                  <c:v>St-HD</c:v>
                </c:pt>
                <c:pt idx="6">
                  <c:v>St-HT</c:v>
                </c:pt>
                <c:pt idx="7">
                  <c:v>IH-BA</c:v>
                </c:pt>
                <c:pt idx="8">
                  <c:v>IH-HD</c:v>
                </c:pt>
                <c:pt idx="9">
                  <c:v>IH-HO2</c:v>
                </c:pt>
                <c:pt idx="10">
                  <c:v>IH-CO2</c:v>
                </c:pt>
                <c:pt idx="11">
                  <c:v>IH-CXR</c:v>
                </c:pt>
                <c:pt idx="12">
                  <c:v>IH-Gr</c:v>
                </c:pt>
                <c:pt idx="13">
                  <c:v>IH-LVHR</c:v>
                </c:pt>
                <c:pt idx="14">
                  <c:v>IH-LB02</c:v>
                </c:pt>
                <c:pt idx="15">
                  <c:v>IH-RUQO2</c:v>
                </c:pt>
                <c:pt idx="16">
                  <c:v>IH-CO2R</c:v>
                </c:pt>
                <c:pt idx="17">
                  <c:v>IH-XRR</c:v>
                </c:pt>
                <c:pt idx="18">
                  <c:v>IH-Dis</c:v>
                </c:pt>
                <c:pt idx="19">
                  <c:v>IH-GR</c:v>
                </c:pt>
                <c:pt idx="20">
                  <c:v>IH-Age</c:v>
                </c:pt>
                <c:pt idx="21">
                  <c:v>IH-LVH</c:v>
                </c:pt>
                <c:pt idx="22">
                  <c:v>IH-DF</c:v>
                </c:pt>
                <c:pt idx="23">
                  <c:v>IH-CM</c:v>
                </c:pt>
                <c:pt idx="24">
                  <c:v>IH-LP</c:v>
                </c:pt>
                <c:pt idx="25">
                  <c:v>IH-LF</c:v>
                </c:pt>
                <c:pt idx="26">
                  <c:v>GD-RR</c:v>
                </c:pt>
                <c:pt idx="27">
                  <c:v>GD-HR</c:v>
                </c:pt>
                <c:pt idx="28">
                  <c:v>GD-FU</c:v>
                </c:pt>
                <c:pt idx="29">
                  <c:v>GD-BA</c:v>
                </c:pt>
                <c:pt idx="30">
                  <c:v>GD-ABD</c:v>
                </c:pt>
                <c:pt idx="31">
                  <c:v>GD-FA</c:v>
                </c:pt>
                <c:pt idx="32">
                  <c:v>GD-SMI</c:v>
                </c:pt>
                <c:pt idx="33">
                  <c:v>GD-RE</c:v>
                </c:pt>
                <c:pt idx="34">
                  <c:v>GD-SA</c:v>
                </c:pt>
                <c:pt idx="35">
                  <c:v>GD-AC</c:v>
                </c:pt>
                <c:pt idx="36">
                  <c:v>GD-HA</c:v>
                </c:pt>
                <c:pt idx="37">
                  <c:v>GD-PA</c:v>
                </c:pt>
                <c:pt idx="38">
                  <c:v>GD-BD</c:v>
                </c:pt>
                <c:pt idx="39">
                  <c:v>GD-BTR</c:v>
                </c:pt>
              </c:strCache>
            </c:strRef>
          </c:cat>
          <c:val>
            <c:numRef>
              <c:f>Sheet1!$H$3:$H$42</c:f>
              <c:numCache>
                <c:formatCode>0.0000</c:formatCode>
                <c:ptCount val="40"/>
                <c:pt idx="0">
                  <c:v>0.896142433234421</c:v>
                </c:pt>
                <c:pt idx="1">
                  <c:v>0.56862745098039202</c:v>
                </c:pt>
                <c:pt idx="2">
                  <c:v>0.35087719298245601</c:v>
                </c:pt>
                <c:pt idx="3">
                  <c:v>0.58010471204188396</c:v>
                </c:pt>
                <c:pt idx="4">
                  <c:v>0.29890109890109801</c:v>
                </c:pt>
                <c:pt idx="5">
                  <c:v>0.26291079812206503</c:v>
                </c:pt>
                <c:pt idx="6">
                  <c:v>0.32</c:v>
                </c:pt>
                <c:pt idx="7">
                  <c:v>5.2159739201303901E-2</c:v>
                </c:pt>
                <c:pt idx="8">
                  <c:v>8.0808080808080801E-2</c:v>
                </c:pt>
                <c:pt idx="9">
                  <c:v>0.20050761421319699</c:v>
                </c:pt>
                <c:pt idx="10">
                  <c:v>0.269858541893362</c:v>
                </c:pt>
                <c:pt idx="11">
                  <c:v>0.60874848116646396</c:v>
                </c:pt>
                <c:pt idx="12">
                  <c:v>0.35705368289637901</c:v>
                </c:pt>
                <c:pt idx="13">
                  <c:v>0.49641025641025599</c:v>
                </c:pt>
                <c:pt idx="14">
                  <c:v>0.18181818181818099</c:v>
                </c:pt>
                <c:pt idx="15">
                  <c:v>0.203508771929824</c:v>
                </c:pt>
                <c:pt idx="16">
                  <c:v>0.32882414151924999</c:v>
                </c:pt>
                <c:pt idx="17">
                  <c:v>0.38645980253878698</c:v>
                </c:pt>
                <c:pt idx="18">
                  <c:v>0.23645320197044301</c:v>
                </c:pt>
                <c:pt idx="19">
                  <c:v>0.32380952380952299</c:v>
                </c:pt>
                <c:pt idx="20">
                  <c:v>0.31562125449460599</c:v>
                </c:pt>
                <c:pt idx="21">
                  <c:v>0.48918156161806198</c:v>
                </c:pt>
                <c:pt idx="22">
                  <c:v>0.31472081218274101</c:v>
                </c:pt>
                <c:pt idx="23">
                  <c:v>0.18982118294360301</c:v>
                </c:pt>
                <c:pt idx="24">
                  <c:v>0.33469387755101998</c:v>
                </c:pt>
                <c:pt idx="25">
                  <c:v>0.64317573595004396</c:v>
                </c:pt>
                <c:pt idx="26">
                  <c:v>0.61454898157129001</c:v>
                </c:pt>
                <c:pt idx="27">
                  <c:v>0.61559348332040298</c:v>
                </c:pt>
                <c:pt idx="28">
                  <c:v>0.61606969990319405</c:v>
                </c:pt>
                <c:pt idx="29">
                  <c:v>0.36654478976234001</c:v>
                </c:pt>
                <c:pt idx="30">
                  <c:v>0.46887966804979198</c:v>
                </c:pt>
                <c:pt idx="31">
                  <c:v>0.62749615975422401</c:v>
                </c:pt>
                <c:pt idx="32">
                  <c:v>0.62564891367044795</c:v>
                </c:pt>
                <c:pt idx="33">
                  <c:v>0.37026903784769699</c:v>
                </c:pt>
                <c:pt idx="34">
                  <c:v>0.36071592473611702</c:v>
                </c:pt>
                <c:pt idx="35">
                  <c:v>0.62749615975422401</c:v>
                </c:pt>
                <c:pt idx="36">
                  <c:v>0.621939464044727</c:v>
                </c:pt>
                <c:pt idx="37">
                  <c:v>0.29261295720774499</c:v>
                </c:pt>
                <c:pt idx="38">
                  <c:v>0.61883581512279995</c:v>
                </c:pt>
                <c:pt idx="39">
                  <c:v>0.36650652024708302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7-41EC-BCB2-5449EA2E8A72}"/>
            </c:ext>
          </c:extLst>
        </c:ser>
        <c:ser>
          <c:idx val="3"/>
          <c:order val="3"/>
          <c:tx>
            <c:strRef>
              <c:f>Sheet1!$I$2</c:f>
              <c:strCache>
                <c:ptCount val="1"/>
                <c:pt idx="0">
                  <c:v>DS+Syn+Emb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Sheet1!$C$3:$C$42</c:f>
              <c:strCache>
                <c:ptCount val="40"/>
                <c:pt idx="0">
                  <c:v>FH-HT</c:v>
                </c:pt>
                <c:pt idx="1">
                  <c:v>FH-HNZ</c:v>
                </c:pt>
                <c:pt idx="2">
                  <c:v>FH-HNP</c:v>
                </c:pt>
                <c:pt idx="3">
                  <c:v>St-SS</c:v>
                </c:pt>
                <c:pt idx="4">
                  <c:v>St-WT</c:v>
                </c:pt>
                <c:pt idx="5">
                  <c:v>St-HD</c:v>
                </c:pt>
                <c:pt idx="6">
                  <c:v>St-HT</c:v>
                </c:pt>
                <c:pt idx="7">
                  <c:v>IH-BA</c:v>
                </c:pt>
                <c:pt idx="8">
                  <c:v>IH-HD</c:v>
                </c:pt>
                <c:pt idx="9">
                  <c:v>IH-HO2</c:v>
                </c:pt>
                <c:pt idx="10">
                  <c:v>IH-CO2</c:v>
                </c:pt>
                <c:pt idx="11">
                  <c:v>IH-CXR</c:v>
                </c:pt>
                <c:pt idx="12">
                  <c:v>IH-Gr</c:v>
                </c:pt>
                <c:pt idx="13">
                  <c:v>IH-LVHR</c:v>
                </c:pt>
                <c:pt idx="14">
                  <c:v>IH-LB02</c:v>
                </c:pt>
                <c:pt idx="15">
                  <c:v>IH-RUQO2</c:v>
                </c:pt>
                <c:pt idx="16">
                  <c:v>IH-CO2R</c:v>
                </c:pt>
                <c:pt idx="17">
                  <c:v>IH-XRR</c:v>
                </c:pt>
                <c:pt idx="18">
                  <c:v>IH-Dis</c:v>
                </c:pt>
                <c:pt idx="19">
                  <c:v>IH-GR</c:v>
                </c:pt>
                <c:pt idx="20">
                  <c:v>IH-Age</c:v>
                </c:pt>
                <c:pt idx="21">
                  <c:v>IH-LVH</c:v>
                </c:pt>
                <c:pt idx="22">
                  <c:v>IH-DF</c:v>
                </c:pt>
                <c:pt idx="23">
                  <c:v>IH-CM</c:v>
                </c:pt>
                <c:pt idx="24">
                  <c:v>IH-LP</c:v>
                </c:pt>
                <c:pt idx="25">
                  <c:v>IH-LF</c:v>
                </c:pt>
                <c:pt idx="26">
                  <c:v>GD-RR</c:v>
                </c:pt>
                <c:pt idx="27">
                  <c:v>GD-HR</c:v>
                </c:pt>
                <c:pt idx="28">
                  <c:v>GD-FU</c:v>
                </c:pt>
                <c:pt idx="29">
                  <c:v>GD-BA</c:v>
                </c:pt>
                <c:pt idx="30">
                  <c:v>GD-ABD</c:v>
                </c:pt>
                <c:pt idx="31">
                  <c:v>GD-FA</c:v>
                </c:pt>
                <c:pt idx="32">
                  <c:v>GD-SMI</c:v>
                </c:pt>
                <c:pt idx="33">
                  <c:v>GD-RE</c:v>
                </c:pt>
                <c:pt idx="34">
                  <c:v>GD-SA</c:v>
                </c:pt>
                <c:pt idx="35">
                  <c:v>GD-AC</c:v>
                </c:pt>
                <c:pt idx="36">
                  <c:v>GD-HA</c:v>
                </c:pt>
                <c:pt idx="37">
                  <c:v>GD-PA</c:v>
                </c:pt>
                <c:pt idx="38">
                  <c:v>GD-BD</c:v>
                </c:pt>
                <c:pt idx="39">
                  <c:v>GD-BTR</c:v>
                </c:pt>
              </c:strCache>
            </c:strRef>
          </c:cat>
          <c:val>
            <c:numRef>
              <c:f>Sheet1!$I$3:$I$42</c:f>
              <c:numCache>
                <c:formatCode>0.0000</c:formatCode>
                <c:ptCount val="40"/>
                <c:pt idx="0">
                  <c:v>0.887417218543046</c:v>
                </c:pt>
                <c:pt idx="1">
                  <c:v>0.52830188679245205</c:v>
                </c:pt>
                <c:pt idx="2">
                  <c:v>0.35483870967741898</c:v>
                </c:pt>
                <c:pt idx="3">
                  <c:v>0.57029702970297003</c:v>
                </c:pt>
                <c:pt idx="4">
                  <c:v>0.28614457831325302</c:v>
                </c:pt>
                <c:pt idx="5">
                  <c:v>0.38095238095237999</c:v>
                </c:pt>
                <c:pt idx="6">
                  <c:v>0.31768953068591999</c:v>
                </c:pt>
                <c:pt idx="7">
                  <c:v>4.55984800506649E-2</c:v>
                </c:pt>
                <c:pt idx="8">
                  <c:v>7.5949367088607597E-2</c:v>
                </c:pt>
                <c:pt idx="9">
                  <c:v>0.25719769673704401</c:v>
                </c:pt>
                <c:pt idx="10">
                  <c:v>0.26551226551226498</c:v>
                </c:pt>
                <c:pt idx="11">
                  <c:v>0.95813204508856598</c:v>
                </c:pt>
                <c:pt idx="12">
                  <c:v>0.32687651331719098</c:v>
                </c:pt>
                <c:pt idx="13">
                  <c:v>0.49641025641025599</c:v>
                </c:pt>
                <c:pt idx="14">
                  <c:v>0.17366136034732199</c:v>
                </c:pt>
                <c:pt idx="15">
                  <c:v>0.20560747663551401</c:v>
                </c:pt>
                <c:pt idx="16">
                  <c:v>0.31367628607277198</c:v>
                </c:pt>
                <c:pt idx="17">
                  <c:v>0.643006263048016</c:v>
                </c:pt>
                <c:pt idx="18">
                  <c:v>0.34632034632034597</c:v>
                </c:pt>
                <c:pt idx="19">
                  <c:v>0.30033557046979797</c:v>
                </c:pt>
                <c:pt idx="20">
                  <c:v>0.33456464379947198</c:v>
                </c:pt>
                <c:pt idx="21">
                  <c:v>0.47516198704103602</c:v>
                </c:pt>
                <c:pt idx="22">
                  <c:v>0.40776699029126201</c:v>
                </c:pt>
                <c:pt idx="23">
                  <c:v>0.317135549872122</c:v>
                </c:pt>
                <c:pt idx="24">
                  <c:v>0.36254980079681198</c:v>
                </c:pt>
                <c:pt idx="25">
                  <c:v>0.92073832790445098</c:v>
                </c:pt>
                <c:pt idx="26">
                  <c:v>0.61532492725509202</c:v>
                </c:pt>
                <c:pt idx="27">
                  <c:v>0.61681518791166201</c:v>
                </c:pt>
                <c:pt idx="28">
                  <c:v>0.61606969990319405</c:v>
                </c:pt>
                <c:pt idx="29">
                  <c:v>0.36671239140374901</c:v>
                </c:pt>
                <c:pt idx="30">
                  <c:v>0.46941323345817698</c:v>
                </c:pt>
                <c:pt idx="31">
                  <c:v>0.62749615975422401</c:v>
                </c:pt>
                <c:pt idx="32">
                  <c:v>0.62533692722371903</c:v>
                </c:pt>
                <c:pt idx="33">
                  <c:v>0.36814321781041998</c:v>
                </c:pt>
                <c:pt idx="34">
                  <c:v>0.36316776007497598</c:v>
                </c:pt>
                <c:pt idx="35">
                  <c:v>0.62720983858570301</c:v>
                </c:pt>
                <c:pt idx="36">
                  <c:v>0.62167373698418804</c:v>
                </c:pt>
                <c:pt idx="37">
                  <c:v>0.31673052362707499</c:v>
                </c:pt>
                <c:pt idx="38">
                  <c:v>0.61847700038654796</c:v>
                </c:pt>
                <c:pt idx="39">
                  <c:v>0.36559139784946199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7-41EC-BCB2-5449EA2E8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25823"/>
        <c:axId val="245626303"/>
      </c:barChart>
      <c:catAx>
        <c:axId val="2456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26303"/>
        <c:crosses val="autoZero"/>
        <c:auto val="1"/>
        <c:lblAlgn val="ctr"/>
        <c:lblOffset val="100"/>
        <c:noMultiLvlLbl val="0"/>
      </c:catAx>
      <c:valAx>
        <c:axId val="24562630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7619</xdr:colOff>
      <xdr:row>46</xdr:row>
      <xdr:rowOff>19050</xdr:rowOff>
    </xdr:from>
    <xdr:to>
      <xdr:col>33</xdr:col>
      <xdr:colOff>272415</xdr:colOff>
      <xdr:row>72</xdr:row>
      <xdr:rowOff>121919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C1FFF-B1AF-1C35-BC41-5C1F3433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20001</xdr:colOff>
      <xdr:row>11</xdr:row>
      <xdr:rowOff>21908</xdr:rowOff>
    </xdr:from>
    <xdr:to>
      <xdr:col>31</xdr:col>
      <xdr:colOff>363854</xdr:colOff>
      <xdr:row>39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99FEE2-F3D4-AE2E-E707-ED816AA0E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1"/>
  <sheetViews>
    <sheetView tabSelected="1" topLeftCell="A64" zoomScaleNormal="100" workbookViewId="0">
      <pane xSplit="3" topLeftCell="D1" activePane="topRight" state="frozen"/>
      <selection pane="topRight" activeCell="M81" sqref="M81"/>
    </sheetView>
  </sheetViews>
  <sheetFormatPr defaultRowHeight="14.4" x14ac:dyDescent="0.3"/>
  <cols>
    <col min="1" max="1" width="15.5546875" bestFit="1" customWidth="1"/>
    <col min="2" max="2" width="30" bestFit="1" customWidth="1"/>
    <col min="3" max="3" width="12.21875" customWidth="1"/>
    <col min="4" max="4" width="13.33203125" bestFit="1" customWidth="1"/>
    <col min="5" max="5" width="10" style="3" bestFit="1" customWidth="1"/>
    <col min="6" max="6" width="12.33203125" style="1" customWidth="1"/>
    <col min="7" max="7" width="12.33203125" style="2" customWidth="1"/>
    <col min="8" max="12" width="12.6640625" style="2" customWidth="1"/>
    <col min="13" max="13" width="9.6640625" style="2" bestFit="1" customWidth="1"/>
    <col min="14" max="14" width="9.21875" style="2" bestFit="1" customWidth="1"/>
    <col min="15" max="16" width="9" bestFit="1" customWidth="1"/>
    <col min="17" max="17" width="9.5546875" bestFit="1" customWidth="1"/>
    <col min="18" max="19" width="9.21875" bestFit="1" customWidth="1"/>
    <col min="20" max="20" width="12.5546875" bestFit="1" customWidth="1"/>
    <col min="21" max="22" width="9.5546875" bestFit="1" customWidth="1"/>
    <col min="23" max="24" width="9.21875" bestFit="1" customWidth="1"/>
    <col min="25" max="26" width="9.5546875" bestFit="1" customWidth="1"/>
    <col min="27" max="27" width="9" bestFit="1" customWidth="1"/>
    <col min="28" max="28" width="9.21875" bestFit="1" customWidth="1"/>
    <col min="29" max="30" width="9" bestFit="1" customWidth="1"/>
    <col min="31" max="31" width="9.5546875" bestFit="1" customWidth="1"/>
    <col min="32" max="32" width="12.21875" bestFit="1" customWidth="1"/>
    <col min="33" max="33" width="10.5546875" bestFit="1" customWidth="1"/>
    <col min="34" max="34" width="9" bestFit="1" customWidth="1"/>
    <col min="35" max="35" width="9.5546875" bestFit="1" customWidth="1"/>
    <col min="36" max="36" width="9.21875" bestFit="1" customWidth="1"/>
    <col min="37" max="37" width="12.5546875" bestFit="1" customWidth="1"/>
    <col min="38" max="39" width="9.5546875" bestFit="1" customWidth="1"/>
    <col min="40" max="41" width="9" bestFit="1" customWidth="1"/>
    <col min="42" max="42" width="10.5546875" bestFit="1" customWidth="1"/>
    <col min="43" max="44" width="9" bestFit="1" customWidth="1"/>
    <col min="45" max="46" width="9.5546875" bestFit="1" customWidth="1"/>
    <col min="47" max="47" width="9.21875" bestFit="1" customWidth="1"/>
    <col min="48" max="49" width="10.5546875" bestFit="1" customWidth="1"/>
    <col min="50" max="50" width="10.21875" bestFit="1" customWidth="1"/>
    <col min="51" max="51" width="9.5546875" bestFit="1" customWidth="1"/>
    <col min="52" max="52" width="11.5546875" bestFit="1" customWidth="1"/>
    <col min="53" max="53" width="9" bestFit="1" customWidth="1"/>
    <col min="54" max="54" width="9.21875" bestFit="1" customWidth="1"/>
    <col min="55" max="55" width="9.5546875" bestFit="1" customWidth="1"/>
    <col min="56" max="57" width="9" bestFit="1" customWidth="1"/>
    <col min="58" max="59" width="10.5546875" bestFit="1" customWidth="1"/>
    <col min="60" max="60" width="13.33203125" bestFit="1" customWidth="1"/>
    <col min="61" max="61" width="9" bestFit="1" customWidth="1"/>
    <col min="62" max="62" width="10.21875" bestFit="1" customWidth="1"/>
    <col min="63" max="63" width="9" bestFit="1" customWidth="1"/>
    <col min="64" max="64" width="9.21875" bestFit="1" customWidth="1"/>
    <col min="65" max="65" width="10.5546875" bestFit="1" customWidth="1"/>
    <col min="66" max="66" width="9.5546875" bestFit="1" customWidth="1"/>
    <col min="67" max="67" width="11.5546875" bestFit="1" customWidth="1"/>
    <col min="68" max="68" width="9.5546875" bestFit="1" customWidth="1"/>
    <col min="69" max="69" width="11.5546875" bestFit="1" customWidth="1"/>
  </cols>
  <sheetData>
    <row r="1" spans="1:17" x14ac:dyDescent="0.3">
      <c r="A1" s="4" t="s">
        <v>2</v>
      </c>
      <c r="B1" s="4" t="s">
        <v>3</v>
      </c>
      <c r="C1" s="4"/>
      <c r="D1" s="18" t="s">
        <v>19</v>
      </c>
      <c r="E1" s="18"/>
      <c r="F1" s="19" t="s">
        <v>7</v>
      </c>
      <c r="G1" s="19"/>
      <c r="H1" s="19"/>
      <c r="I1" s="19"/>
      <c r="J1" s="6"/>
      <c r="K1" s="6"/>
      <c r="L1" s="6"/>
      <c r="M1" s="6"/>
      <c r="N1" s="4"/>
      <c r="O1" s="4"/>
      <c r="P1" s="4"/>
      <c r="Q1" s="4"/>
    </row>
    <row r="2" spans="1:17" x14ac:dyDescent="0.3">
      <c r="A2" s="4" t="s">
        <v>0</v>
      </c>
      <c r="B2" s="4" t="s">
        <v>4</v>
      </c>
      <c r="C2" s="4"/>
      <c r="D2" s="9" t="s">
        <v>6</v>
      </c>
      <c r="E2" s="10" t="s">
        <v>18</v>
      </c>
      <c r="F2" s="11" t="s">
        <v>20</v>
      </c>
      <c r="G2" s="11" t="s">
        <v>21</v>
      </c>
      <c r="H2" s="11" t="s">
        <v>22</v>
      </c>
      <c r="I2" s="11" t="s">
        <v>23</v>
      </c>
      <c r="K2" s="11" t="s">
        <v>21</v>
      </c>
      <c r="L2" s="11" t="s">
        <v>22</v>
      </c>
      <c r="M2" s="11" t="s">
        <v>23</v>
      </c>
      <c r="N2" s="6"/>
      <c r="O2" s="6"/>
      <c r="P2" s="4"/>
      <c r="Q2" s="4"/>
    </row>
    <row r="3" spans="1:17" x14ac:dyDescent="0.3">
      <c r="A3" s="4" t="s">
        <v>1</v>
      </c>
      <c r="B3" s="4" t="s">
        <v>5</v>
      </c>
      <c r="C3" s="4" t="s">
        <v>92</v>
      </c>
      <c r="D3" s="8">
        <v>1</v>
      </c>
      <c r="E3" s="5">
        <v>0.39889999999999998</v>
      </c>
      <c r="F3" s="6">
        <v>0.88970588235294101</v>
      </c>
      <c r="G3" s="6">
        <v>0.84666666666666601</v>
      </c>
      <c r="H3" s="6">
        <v>0.896142433234421</v>
      </c>
      <c r="I3" s="6">
        <v>0.887417218543046</v>
      </c>
      <c r="J3" s="6"/>
      <c r="K3" s="2">
        <f>G3/F3</f>
        <v>0.95162534435261648</v>
      </c>
      <c r="L3" s="2">
        <f>H3/F3</f>
        <v>1.007234470412242</v>
      </c>
      <c r="M3">
        <f>I3/F3</f>
        <v>0.99742761753598574</v>
      </c>
      <c r="N3" s="4"/>
      <c r="O3" s="4"/>
      <c r="P3" s="4"/>
      <c r="Q3" s="4"/>
    </row>
    <row r="4" spans="1:17" x14ac:dyDescent="0.3">
      <c r="A4" s="4"/>
      <c r="B4" s="4" t="s">
        <v>9</v>
      </c>
      <c r="C4" s="4" t="s">
        <v>93</v>
      </c>
      <c r="D4" s="8">
        <v>1</v>
      </c>
      <c r="E4" s="5">
        <v>0.17519999999999999</v>
      </c>
      <c r="F4" s="6">
        <v>0.481012658227848</v>
      </c>
      <c r="G4" s="6">
        <v>0.41176470588235198</v>
      </c>
      <c r="H4" s="6">
        <v>0.56862745098039202</v>
      </c>
      <c r="I4" s="6">
        <v>0.52830188679245205</v>
      </c>
      <c r="J4" s="6"/>
      <c r="K4" s="2">
        <f t="shared" ref="K4:K17" si="0">G4/F4</f>
        <v>0.8560371517027846</v>
      </c>
      <c r="L4" s="2">
        <f t="shared" ref="L4:L17" si="1">H4/F4</f>
        <v>1.1821465428276574</v>
      </c>
      <c r="M4">
        <f t="shared" ref="M4:M17" si="2">I4/F4</f>
        <v>1.0983118172790454</v>
      </c>
      <c r="N4" s="4"/>
      <c r="O4" s="4"/>
      <c r="P4" s="4"/>
      <c r="Q4" s="4"/>
    </row>
    <row r="5" spans="1:17" x14ac:dyDescent="0.3">
      <c r="A5" s="4"/>
      <c r="B5" s="4" t="s">
        <v>10</v>
      </c>
      <c r="C5" s="4" t="s">
        <v>94</v>
      </c>
      <c r="D5" s="8">
        <v>5</v>
      </c>
      <c r="E5" s="5">
        <v>9.8699999999999996E-2</v>
      </c>
      <c r="F5" s="6">
        <v>0.25925925925925902</v>
      </c>
      <c r="G5" s="6">
        <v>0.253164556962025</v>
      </c>
      <c r="H5" s="6">
        <v>0.35087719298245601</v>
      </c>
      <c r="I5" s="6">
        <v>0.35483870967741898</v>
      </c>
      <c r="J5" s="6"/>
      <c r="K5" s="2">
        <f t="shared" si="0"/>
        <v>0.97649186256781162</v>
      </c>
      <c r="L5" s="2">
        <f t="shared" si="1"/>
        <v>1.3533834586466174</v>
      </c>
      <c r="M5">
        <f t="shared" si="2"/>
        <v>1.3686635944700458</v>
      </c>
      <c r="N5" s="4"/>
      <c r="O5" s="4"/>
      <c r="P5" s="4"/>
      <c r="Q5" s="4"/>
    </row>
    <row r="6" spans="1:17" x14ac:dyDescent="0.3">
      <c r="A6" s="4" t="s">
        <v>24</v>
      </c>
      <c r="B6" s="4" t="s">
        <v>25</v>
      </c>
      <c r="C6" s="4" t="s">
        <v>95</v>
      </c>
      <c r="D6" s="8" t="s">
        <v>26</v>
      </c>
      <c r="E6" s="5">
        <v>4.7397996999999997E-2</v>
      </c>
      <c r="F6" s="6">
        <v>0.57086614173228301</v>
      </c>
      <c r="G6" s="6">
        <v>0.56618357487922699</v>
      </c>
      <c r="H6" s="6">
        <v>0.58010471204188396</v>
      </c>
      <c r="I6" s="6">
        <v>0.57029702970297003</v>
      </c>
      <c r="J6" s="6"/>
      <c r="K6" s="2">
        <f t="shared" si="0"/>
        <v>0.99179743461602599</v>
      </c>
      <c r="L6" s="2">
        <f t="shared" si="1"/>
        <v>1.016183426611301</v>
      </c>
      <c r="M6">
        <f t="shared" si="2"/>
        <v>0.99900307272106559</v>
      </c>
      <c r="N6" s="6"/>
      <c r="O6" s="4"/>
      <c r="P6" s="4"/>
      <c r="Q6" s="4"/>
    </row>
    <row r="7" spans="1:17" x14ac:dyDescent="0.3">
      <c r="A7" s="4"/>
      <c r="B7" s="4" t="s">
        <v>27</v>
      </c>
      <c r="C7" s="4" t="s">
        <v>96</v>
      </c>
      <c r="D7" s="8" t="s">
        <v>28</v>
      </c>
      <c r="E7" s="5">
        <v>0.12777913499999999</v>
      </c>
      <c r="F7" s="6">
        <v>0.27604166666666602</v>
      </c>
      <c r="G7" s="6">
        <v>0.28451882845188198</v>
      </c>
      <c r="H7" s="6">
        <v>0.29890109890109801</v>
      </c>
      <c r="I7" s="6">
        <v>0.28614457831325302</v>
      </c>
      <c r="J7" s="6"/>
      <c r="K7" s="2">
        <f t="shared" si="0"/>
        <v>1.0307097181653107</v>
      </c>
      <c r="L7" s="2">
        <f t="shared" si="1"/>
        <v>1.0828115280945463</v>
      </c>
      <c r="M7">
        <f t="shared" si="2"/>
        <v>1.0365992270970699</v>
      </c>
      <c r="N7" s="6"/>
      <c r="O7" s="4"/>
      <c r="P7" s="4"/>
      <c r="Q7" s="4"/>
    </row>
    <row r="8" spans="1:17" x14ac:dyDescent="0.3">
      <c r="A8" s="4"/>
      <c r="B8" s="4" t="s">
        <v>29</v>
      </c>
      <c r="C8" s="4" t="s">
        <v>97</v>
      </c>
      <c r="D8" s="8">
        <v>1</v>
      </c>
      <c r="E8" s="5">
        <v>5.4238944999999997E-2</v>
      </c>
      <c r="F8" s="6">
        <v>0.14705882352941099</v>
      </c>
      <c r="G8" s="6">
        <v>0.35668789808917101</v>
      </c>
      <c r="H8" s="6">
        <v>0.26291079812206503</v>
      </c>
      <c r="I8" s="6">
        <v>0.38095238095237999</v>
      </c>
      <c r="J8" s="6"/>
      <c r="K8" s="2">
        <f t="shared" si="0"/>
        <v>2.4254777070063755</v>
      </c>
      <c r="L8" s="2">
        <f t="shared" si="1"/>
        <v>1.7877934272300515</v>
      </c>
      <c r="M8">
        <f t="shared" si="2"/>
        <v>2.5904761904761977</v>
      </c>
      <c r="N8" s="6"/>
      <c r="O8" s="4"/>
      <c r="P8" s="4"/>
      <c r="Q8" s="4"/>
    </row>
    <row r="9" spans="1:17" x14ac:dyDescent="0.3">
      <c r="A9" s="4"/>
      <c r="B9" s="4" t="s">
        <v>30</v>
      </c>
      <c r="C9" s="4" t="s">
        <v>98</v>
      </c>
      <c r="D9" s="8">
        <v>1</v>
      </c>
      <c r="E9" s="5">
        <v>9.6750550000000005E-2</v>
      </c>
      <c r="F9" s="6">
        <v>0.27040816326530598</v>
      </c>
      <c r="G9" s="6">
        <v>0.32191780821917798</v>
      </c>
      <c r="H9" s="6">
        <v>0.32</v>
      </c>
      <c r="I9" s="6">
        <v>0.31768953068591999</v>
      </c>
      <c r="J9" s="6"/>
      <c r="K9" s="2">
        <f t="shared" si="0"/>
        <v>1.1904884983199795</v>
      </c>
      <c r="L9" s="2">
        <f t="shared" si="1"/>
        <v>1.183396226415095</v>
      </c>
      <c r="M9">
        <f t="shared" si="2"/>
        <v>1.1748518493290632</v>
      </c>
      <c r="N9" s="6"/>
      <c r="O9" s="4"/>
      <c r="P9" s="4"/>
      <c r="Q9" s="4"/>
    </row>
    <row r="10" spans="1:17" x14ac:dyDescent="0.3">
      <c r="A10" s="4" t="s">
        <v>60</v>
      </c>
      <c r="B10" s="4" t="s">
        <v>61</v>
      </c>
      <c r="C10" s="4" t="s">
        <v>99</v>
      </c>
      <c r="D10" s="8" t="s">
        <v>62</v>
      </c>
      <c r="E10" s="5">
        <v>2.6284948999999998E-2</v>
      </c>
      <c r="F10" s="6">
        <v>2.4489795918367301E-2</v>
      </c>
      <c r="G10" s="6">
        <v>1.6806722689075598E-2</v>
      </c>
      <c r="H10" s="6">
        <v>5.2159739201303901E-2</v>
      </c>
      <c r="I10" s="6">
        <v>4.55984800506649E-2</v>
      </c>
      <c r="J10" s="6"/>
      <c r="K10" s="2">
        <f t="shared" si="0"/>
        <v>0.68627450980392157</v>
      </c>
      <c r="L10" s="2">
        <f t="shared" si="1"/>
        <v>2.1298560173865799</v>
      </c>
      <c r="M10">
        <f t="shared" si="2"/>
        <v>1.8619379354021537</v>
      </c>
      <c r="N10" s="6"/>
      <c r="O10" s="4"/>
      <c r="P10" s="4"/>
      <c r="Q10" s="4"/>
    </row>
    <row r="11" spans="1:17" x14ac:dyDescent="0.3">
      <c r="A11" s="4"/>
      <c r="B11" s="4" t="s">
        <v>63</v>
      </c>
      <c r="C11" s="4" t="s">
        <v>100</v>
      </c>
      <c r="D11" s="8" t="s">
        <v>64</v>
      </c>
      <c r="E11" s="5">
        <v>2.6954629000000001E-2</v>
      </c>
      <c r="F11" s="6">
        <v>8.3538083538083494E-2</v>
      </c>
      <c r="G11" s="6">
        <v>6.8965517241379296E-2</v>
      </c>
      <c r="H11" s="6">
        <v>8.0808080808080801E-2</v>
      </c>
      <c r="I11" s="6">
        <v>7.5949367088607597E-2</v>
      </c>
      <c r="J11" s="6"/>
      <c r="K11" s="2">
        <f t="shared" si="0"/>
        <v>0.82555780933062906</v>
      </c>
      <c r="L11" s="2">
        <f t="shared" si="1"/>
        <v>0.96732026143790895</v>
      </c>
      <c r="M11">
        <f t="shared" si="2"/>
        <v>0.9091586001489208</v>
      </c>
      <c r="N11" s="6"/>
      <c r="O11" s="4"/>
      <c r="P11" s="4"/>
      <c r="Q11" s="4"/>
    </row>
    <row r="12" spans="1:17" x14ac:dyDescent="0.3">
      <c r="A12" s="4"/>
      <c r="B12" s="4" t="s">
        <v>65</v>
      </c>
      <c r="C12" s="4" t="s">
        <v>101</v>
      </c>
      <c r="D12" s="8" t="s">
        <v>66</v>
      </c>
      <c r="E12" s="5">
        <v>7.8436297000000002E-2</v>
      </c>
      <c r="F12" s="6">
        <v>0.206540447504302</v>
      </c>
      <c r="G12" s="6">
        <v>0.25037257824143</v>
      </c>
      <c r="H12" s="6">
        <v>0.20050761421319699</v>
      </c>
      <c r="I12" s="6">
        <v>0.25719769673704401</v>
      </c>
      <c r="J12" s="6"/>
      <c r="K12" s="2">
        <f t="shared" si="0"/>
        <v>1.2122205663189289</v>
      </c>
      <c r="L12" s="2">
        <f t="shared" si="1"/>
        <v>0.97079103214889972</v>
      </c>
      <c r="M12">
        <f t="shared" si="2"/>
        <v>1.2452655150351937</v>
      </c>
      <c r="N12" s="6"/>
      <c r="O12" s="4"/>
      <c r="P12" s="4"/>
      <c r="Q12" s="4"/>
    </row>
    <row r="13" spans="1:17" x14ac:dyDescent="0.3">
      <c r="A13" s="4"/>
      <c r="B13" s="4" t="s">
        <v>67</v>
      </c>
      <c r="C13" s="4" t="s">
        <v>102</v>
      </c>
      <c r="D13" s="8" t="s">
        <v>68</v>
      </c>
      <c r="E13" s="5">
        <v>0.136614766</v>
      </c>
      <c r="F13" s="6">
        <v>0.25608194622279101</v>
      </c>
      <c r="G13" s="6">
        <v>0.26039978390059398</v>
      </c>
      <c r="H13" s="6">
        <v>0.269858541893362</v>
      </c>
      <c r="I13" s="6">
        <v>0.26551226551226498</v>
      </c>
      <c r="J13" s="6"/>
      <c r="K13" s="2">
        <f t="shared" si="0"/>
        <v>1.0168611561318206</v>
      </c>
      <c r="L13" s="2">
        <f t="shared" si="1"/>
        <v>1.0537976060935799</v>
      </c>
      <c r="M13">
        <f t="shared" si="2"/>
        <v>1.036825396825396</v>
      </c>
      <c r="N13" s="6"/>
      <c r="O13" s="4"/>
      <c r="P13" s="4"/>
      <c r="Q13" s="4"/>
    </row>
    <row r="14" spans="1:17" x14ac:dyDescent="0.3">
      <c r="A14" s="4"/>
      <c r="B14" s="4" t="s">
        <v>69</v>
      </c>
      <c r="C14" s="4" t="s">
        <v>105</v>
      </c>
      <c r="D14" s="8" t="s">
        <v>70</v>
      </c>
      <c r="E14" s="5">
        <v>0.25397622600000003</v>
      </c>
      <c r="F14" s="6">
        <v>0.47732696897374699</v>
      </c>
      <c r="G14" s="6">
        <v>0.95322580645161203</v>
      </c>
      <c r="H14" s="6">
        <v>0.60874848116646396</v>
      </c>
      <c r="I14" s="6">
        <v>0.95813204508856598</v>
      </c>
      <c r="J14" s="6"/>
      <c r="K14" s="2">
        <f t="shared" si="0"/>
        <v>1.9970080645161272</v>
      </c>
      <c r="L14" s="2">
        <f t="shared" si="1"/>
        <v>1.275328068043742</v>
      </c>
      <c r="M14">
        <f t="shared" si="2"/>
        <v>2.007286634460546</v>
      </c>
      <c r="N14" s="6"/>
      <c r="O14" s="4"/>
      <c r="P14" s="4"/>
      <c r="Q14" s="4"/>
    </row>
    <row r="15" spans="1:17" x14ac:dyDescent="0.3">
      <c r="A15" s="4"/>
      <c r="B15" s="4" t="s">
        <v>71</v>
      </c>
      <c r="C15" s="4" t="s">
        <v>106</v>
      </c>
      <c r="D15" s="8" t="s">
        <v>62</v>
      </c>
      <c r="E15" s="5">
        <v>0.123304872</v>
      </c>
      <c r="F15" s="6">
        <v>0.30134158926728499</v>
      </c>
      <c r="G15" s="6">
        <v>0.32473444613050001</v>
      </c>
      <c r="H15" s="6">
        <v>0.35705368289637901</v>
      </c>
      <c r="I15" s="6">
        <v>0.32687651331719098</v>
      </c>
      <c r="K15" s="2">
        <f t="shared" si="0"/>
        <v>1.0776290352755322</v>
      </c>
      <c r="L15" s="2">
        <f t="shared" si="1"/>
        <v>1.1848802011184667</v>
      </c>
      <c r="M15">
        <f t="shared" si="2"/>
        <v>1.0847374705628732</v>
      </c>
      <c r="N15" s="6"/>
      <c r="O15" s="4"/>
      <c r="P15" s="4"/>
      <c r="Q15" s="4"/>
    </row>
    <row r="16" spans="1:17" x14ac:dyDescent="0.3">
      <c r="A16" s="4"/>
      <c r="B16" s="4" t="s">
        <v>72</v>
      </c>
      <c r="C16" s="4" t="s">
        <v>113</v>
      </c>
      <c r="D16" s="8" t="s">
        <v>62</v>
      </c>
      <c r="E16" s="5">
        <v>0.19989953999999999</v>
      </c>
      <c r="F16" s="6">
        <v>0.43525179856115098</v>
      </c>
      <c r="G16" s="6">
        <v>0.464446444644464</v>
      </c>
      <c r="H16" s="6">
        <v>0.49641025641025599</v>
      </c>
      <c r="I16" s="6">
        <v>0.49641025641025599</v>
      </c>
      <c r="K16" s="2">
        <f t="shared" si="0"/>
        <v>1.0670753025715787</v>
      </c>
      <c r="L16" s="2">
        <f t="shared" si="1"/>
        <v>1.1405128205128199</v>
      </c>
      <c r="M16">
        <f t="shared" si="2"/>
        <v>1.1405128205128199</v>
      </c>
      <c r="N16" s="6"/>
      <c r="O16" s="4"/>
      <c r="P16" s="4"/>
      <c r="Q16" s="4"/>
    </row>
    <row r="17" spans="1:17" x14ac:dyDescent="0.3">
      <c r="A17" s="4"/>
      <c r="B17" s="4" t="s">
        <v>73</v>
      </c>
      <c r="C17" s="4" t="s">
        <v>107</v>
      </c>
      <c r="D17" s="8" t="s">
        <v>74</v>
      </c>
      <c r="E17" s="5">
        <v>9.1913611000000006E-2</v>
      </c>
      <c r="F17" s="6">
        <v>0.19234042553191399</v>
      </c>
      <c r="G17" s="6">
        <v>0.17564208782104301</v>
      </c>
      <c r="H17" s="6">
        <v>0.18181818181818099</v>
      </c>
      <c r="I17" s="6">
        <v>0.17366136034732199</v>
      </c>
      <c r="J17" s="6"/>
      <c r="K17" s="2">
        <f t="shared" si="0"/>
        <v>0.91318342119348006</v>
      </c>
      <c r="L17" s="2">
        <f t="shared" si="1"/>
        <v>0.94529364440868879</v>
      </c>
      <c r="M17">
        <f t="shared" si="2"/>
        <v>0.90288539118630218</v>
      </c>
      <c r="N17" s="6"/>
      <c r="O17" s="4"/>
      <c r="P17" s="4"/>
      <c r="Q17" s="4"/>
    </row>
    <row r="18" spans="1:17" x14ac:dyDescent="0.3">
      <c r="A18" s="4"/>
      <c r="B18" s="4" t="s">
        <v>75</v>
      </c>
      <c r="C18" s="4" t="s">
        <v>108</v>
      </c>
      <c r="D18" s="8" t="s">
        <v>74</v>
      </c>
      <c r="E18" s="5">
        <v>0.10329817500000001</v>
      </c>
      <c r="F18" s="6">
        <v>0.18455915943353099</v>
      </c>
      <c r="G18" s="6">
        <v>0.20707329574577099</v>
      </c>
      <c r="H18" s="6">
        <v>0.203508771929824</v>
      </c>
      <c r="I18" s="6">
        <v>0.20560747663551401</v>
      </c>
      <c r="J18" s="6"/>
      <c r="K18" s="2">
        <f t="shared" ref="K18:K28" si="3">G18/F18</f>
        <v>1.1219887237314194</v>
      </c>
      <c r="L18" s="2">
        <f t="shared" ref="L18:L28" si="4">H18/F18</f>
        <v>1.1026750043425384</v>
      </c>
      <c r="M18">
        <f t="shared" ref="M18:M28" si="5">I18/F18</f>
        <v>1.1140464513741111</v>
      </c>
      <c r="N18" s="6"/>
      <c r="O18" s="4"/>
      <c r="P18" s="4"/>
      <c r="Q18" s="4"/>
    </row>
    <row r="19" spans="1:17" x14ac:dyDescent="0.3">
      <c r="A19" s="4"/>
      <c r="B19" s="4" t="s">
        <v>76</v>
      </c>
      <c r="C19" s="4" t="s">
        <v>109</v>
      </c>
      <c r="D19" s="8" t="s">
        <v>77</v>
      </c>
      <c r="E19" s="5">
        <v>0.16156035499999999</v>
      </c>
      <c r="F19" s="6">
        <v>0.29436038514442903</v>
      </c>
      <c r="G19" s="6">
        <v>0.32263513513513498</v>
      </c>
      <c r="H19" s="6">
        <v>0.32882414151924999</v>
      </c>
      <c r="I19" s="6">
        <v>0.31367628607277198</v>
      </c>
      <c r="J19" s="6"/>
      <c r="K19" s="2">
        <f t="shared" si="3"/>
        <v>1.0960548749684262</v>
      </c>
      <c r="L19" s="2">
        <f t="shared" si="4"/>
        <v>1.1170801443200693</v>
      </c>
      <c r="M19">
        <f t="shared" si="5"/>
        <v>1.0656199064247913</v>
      </c>
      <c r="N19" s="6"/>
      <c r="O19" s="4"/>
      <c r="P19" s="4"/>
      <c r="Q19" s="4"/>
    </row>
    <row r="20" spans="1:17" x14ac:dyDescent="0.3">
      <c r="A20" s="4"/>
      <c r="B20" s="4" t="s">
        <v>78</v>
      </c>
      <c r="C20" s="4" t="s">
        <v>110</v>
      </c>
      <c r="D20" s="8" t="s">
        <v>79</v>
      </c>
      <c r="E20" s="5">
        <v>0.10656286600000001</v>
      </c>
      <c r="F20" s="6">
        <v>0.334194659776055</v>
      </c>
      <c r="G20" s="6">
        <v>0.63559322033898302</v>
      </c>
      <c r="H20" s="6">
        <v>0.38645980253878698</v>
      </c>
      <c r="I20" s="6">
        <v>0.643006263048016</v>
      </c>
      <c r="J20" s="6"/>
      <c r="K20" s="2">
        <f t="shared" si="3"/>
        <v>1.9018652804473184</v>
      </c>
      <c r="L20" s="2">
        <f t="shared" si="4"/>
        <v>1.1563913163596182</v>
      </c>
      <c r="M20">
        <f t="shared" si="5"/>
        <v>1.9240470912338836</v>
      </c>
      <c r="N20" s="6"/>
      <c r="O20" s="4"/>
      <c r="P20" s="4"/>
      <c r="Q20" s="4"/>
    </row>
    <row r="21" spans="1:17" x14ac:dyDescent="0.3">
      <c r="A21" s="4"/>
      <c r="B21" s="4" t="s">
        <v>80</v>
      </c>
      <c r="C21" s="4" t="s">
        <v>111</v>
      </c>
      <c r="D21" s="8" t="s">
        <v>81</v>
      </c>
      <c r="E21" s="5">
        <v>4.8468105999999997E-2</v>
      </c>
      <c r="F21" s="6">
        <v>0.19256017505470399</v>
      </c>
      <c r="G21" s="6">
        <v>0.30107526881720398</v>
      </c>
      <c r="H21" s="6">
        <v>0.23645320197044301</v>
      </c>
      <c r="I21" s="6">
        <v>0.34632034632034597</v>
      </c>
      <c r="J21" s="6"/>
      <c r="K21" s="2">
        <f t="shared" si="3"/>
        <v>1.563538611925712</v>
      </c>
      <c r="L21" s="2">
        <f t="shared" si="4"/>
        <v>1.2279444693237818</v>
      </c>
      <c r="M21">
        <f t="shared" si="5"/>
        <v>1.7985045257772569</v>
      </c>
      <c r="N21" s="6"/>
      <c r="O21" s="4"/>
      <c r="P21" s="4"/>
      <c r="Q21" s="4"/>
    </row>
    <row r="22" spans="1:17" x14ac:dyDescent="0.3">
      <c r="A22" s="4"/>
      <c r="B22" s="4" t="s">
        <v>82</v>
      </c>
      <c r="C22" s="4" t="s">
        <v>112</v>
      </c>
      <c r="D22" s="8" t="s">
        <v>62</v>
      </c>
      <c r="E22" s="5">
        <v>0.159049054</v>
      </c>
      <c r="F22" s="6">
        <v>0.32874828060522698</v>
      </c>
      <c r="G22" s="6">
        <v>0.313694267515923</v>
      </c>
      <c r="H22" s="6">
        <v>0.32380952380952299</v>
      </c>
      <c r="I22" s="6">
        <v>0.30033557046979797</v>
      </c>
      <c r="J22" s="6"/>
      <c r="K22" s="2">
        <f t="shared" si="3"/>
        <v>0.95420808570743099</v>
      </c>
      <c r="L22" s="2">
        <f t="shared" si="4"/>
        <v>0.98497708706913467</v>
      </c>
      <c r="M22">
        <f t="shared" si="5"/>
        <v>0.91357305327005489</v>
      </c>
      <c r="N22" s="6"/>
      <c r="O22" s="4"/>
      <c r="P22" s="4"/>
      <c r="Q22" s="4"/>
    </row>
    <row r="23" spans="1:17" x14ac:dyDescent="0.3">
      <c r="A23" s="4"/>
      <c r="B23" s="4" t="s">
        <v>83</v>
      </c>
      <c r="C23" s="4" t="s">
        <v>103</v>
      </c>
      <c r="D23" s="8" t="s">
        <v>84</v>
      </c>
      <c r="E23" s="5">
        <v>0.17654444999999999</v>
      </c>
      <c r="F23" s="6">
        <v>0.29464606539705301</v>
      </c>
      <c r="G23" s="6">
        <v>0.33729216152018998</v>
      </c>
      <c r="H23" s="6">
        <v>0.31562125449460599</v>
      </c>
      <c r="I23" s="6">
        <v>0.33456464379947198</v>
      </c>
      <c r="J23" s="6"/>
      <c r="K23" s="2">
        <f t="shared" si="3"/>
        <v>1.1447366896471833</v>
      </c>
      <c r="L23" s="2">
        <f t="shared" si="4"/>
        <v>1.071187745437183</v>
      </c>
      <c r="M23">
        <f t="shared" si="5"/>
        <v>1.1354797606023563</v>
      </c>
      <c r="N23" s="6"/>
      <c r="O23" s="4"/>
      <c r="P23" s="4"/>
      <c r="Q23" s="4"/>
    </row>
    <row r="24" spans="1:17" x14ac:dyDescent="0.3">
      <c r="A24" s="4"/>
      <c r="B24" s="4" t="s">
        <v>85</v>
      </c>
      <c r="C24" s="4" t="s">
        <v>104</v>
      </c>
      <c r="D24" s="8" t="s">
        <v>62</v>
      </c>
      <c r="E24" s="5">
        <v>0.18910095399999999</v>
      </c>
      <c r="F24" s="6">
        <v>0.47180301826846699</v>
      </c>
      <c r="G24" s="6">
        <v>0.48289345063538602</v>
      </c>
      <c r="H24" s="6">
        <v>0.48918156161806198</v>
      </c>
      <c r="I24" s="6">
        <v>0.47516198704103602</v>
      </c>
      <c r="J24" s="6"/>
      <c r="K24" s="2">
        <f t="shared" si="3"/>
        <v>1.0235064888046315</v>
      </c>
      <c r="L24" s="2">
        <f t="shared" si="4"/>
        <v>1.0368343199951853</v>
      </c>
      <c r="M24">
        <f t="shared" si="5"/>
        <v>1.0071194304455631</v>
      </c>
      <c r="N24" s="6"/>
      <c r="O24" s="4"/>
      <c r="P24" s="4"/>
      <c r="Q24" s="4"/>
    </row>
    <row r="25" spans="1:17" x14ac:dyDescent="0.3">
      <c r="A25" s="4"/>
      <c r="B25" s="4" t="s">
        <v>86</v>
      </c>
      <c r="C25" s="4" t="s">
        <v>114</v>
      </c>
      <c r="D25" s="8" t="s">
        <v>87</v>
      </c>
      <c r="E25" s="5">
        <v>7.5673866000000006E-2</v>
      </c>
      <c r="F25" s="6">
        <v>0.28837209302325501</v>
      </c>
      <c r="G25" s="6">
        <v>0.37960339943342702</v>
      </c>
      <c r="H25" s="6">
        <v>0.31472081218274101</v>
      </c>
      <c r="I25" s="6">
        <v>0.40776699029126201</v>
      </c>
      <c r="J25" s="6"/>
      <c r="K25" s="2">
        <f t="shared" si="3"/>
        <v>1.3163666270675329</v>
      </c>
      <c r="L25" s="2">
        <f t="shared" si="4"/>
        <v>1.0913705583756372</v>
      </c>
      <c r="M25">
        <f t="shared" si="5"/>
        <v>1.4140306921390577</v>
      </c>
      <c r="N25" s="6"/>
      <c r="O25" s="4"/>
      <c r="P25" s="4"/>
      <c r="Q25" s="4"/>
    </row>
    <row r="26" spans="1:17" x14ac:dyDescent="0.3">
      <c r="A26" s="4"/>
      <c r="B26" s="4" t="s">
        <v>88</v>
      </c>
      <c r="C26" s="4" t="s">
        <v>115</v>
      </c>
      <c r="D26" s="8" t="s">
        <v>66</v>
      </c>
      <c r="E26" s="5">
        <v>6.6716892999999999E-2</v>
      </c>
      <c r="F26" s="6">
        <v>0.14171122994652399</v>
      </c>
      <c r="G26" s="6">
        <v>0.31336405529953898</v>
      </c>
      <c r="H26" s="6">
        <v>0.18982118294360301</v>
      </c>
      <c r="I26" s="6">
        <v>0.317135549872122</v>
      </c>
      <c r="K26" s="2">
        <f t="shared" si="3"/>
        <v>2.2112859751325971</v>
      </c>
      <c r="L26" s="2">
        <f t="shared" si="4"/>
        <v>1.3394928758661804</v>
      </c>
      <c r="M26">
        <f t="shared" si="5"/>
        <v>2.2378999179655414</v>
      </c>
      <c r="N26" s="6"/>
      <c r="O26" s="4"/>
      <c r="P26" s="4"/>
      <c r="Q26" s="4"/>
    </row>
    <row r="27" spans="1:17" x14ac:dyDescent="0.3">
      <c r="A27" s="4"/>
      <c r="B27" s="4" t="s">
        <v>89</v>
      </c>
      <c r="C27" s="4" t="s">
        <v>116</v>
      </c>
      <c r="D27" s="8" t="s">
        <v>90</v>
      </c>
      <c r="E27" s="5">
        <v>0.13770299699999999</v>
      </c>
      <c r="F27" s="6">
        <v>0.26865671641791</v>
      </c>
      <c r="G27" s="6">
        <v>0.354243542435424</v>
      </c>
      <c r="H27" s="6">
        <v>0.33469387755101998</v>
      </c>
      <c r="I27" s="6">
        <v>0.36254980079681198</v>
      </c>
      <c r="J27" s="6"/>
      <c r="K27" s="2">
        <f t="shared" si="3"/>
        <v>1.3185731857318581</v>
      </c>
      <c r="L27" s="2">
        <f t="shared" si="4"/>
        <v>1.2458049886621321</v>
      </c>
      <c r="M27">
        <f t="shared" si="5"/>
        <v>1.3494909251881357</v>
      </c>
      <c r="N27" s="6"/>
      <c r="O27" s="4"/>
      <c r="P27" s="4"/>
      <c r="Q27" s="4"/>
    </row>
    <row r="28" spans="1:17" x14ac:dyDescent="0.3">
      <c r="A28" s="4"/>
      <c r="B28" s="4" t="s">
        <v>91</v>
      </c>
      <c r="C28" s="4" t="s">
        <v>117</v>
      </c>
      <c r="D28" s="8" t="s">
        <v>68</v>
      </c>
      <c r="E28" s="5">
        <v>0.38347564000000001</v>
      </c>
      <c r="F28" s="6">
        <v>0.54660452729693698</v>
      </c>
      <c r="G28" s="6">
        <v>0.91409691629955903</v>
      </c>
      <c r="H28" s="6">
        <v>0.64317573595004396</v>
      </c>
      <c r="I28" s="6">
        <v>0.92073832790445098</v>
      </c>
      <c r="J28" s="6"/>
      <c r="K28" s="2">
        <f t="shared" si="3"/>
        <v>1.6723185971765393</v>
      </c>
      <c r="L28" s="2">
        <f t="shared" si="4"/>
        <v>1.176674732517621</v>
      </c>
      <c r="M28">
        <f t="shared" si="5"/>
        <v>1.6844689019640517</v>
      </c>
      <c r="N28" s="6"/>
      <c r="O28" s="4"/>
      <c r="P28" s="4"/>
      <c r="Q28" s="4"/>
    </row>
    <row r="29" spans="1:17" x14ac:dyDescent="0.3">
      <c r="A29" s="4" t="s">
        <v>118</v>
      </c>
      <c r="B29" s="4" t="s">
        <v>125</v>
      </c>
      <c r="C29" s="4" t="s">
        <v>144</v>
      </c>
      <c r="D29" s="8" t="s">
        <v>126</v>
      </c>
      <c r="E29" s="5">
        <v>0.446014986</v>
      </c>
      <c r="F29" s="6">
        <v>0.60766495456341296</v>
      </c>
      <c r="G29" s="6">
        <v>0.61743912018853098</v>
      </c>
      <c r="H29" s="6">
        <v>0.61454898157129001</v>
      </c>
      <c r="I29" s="16">
        <v>0.61532492725509202</v>
      </c>
      <c r="J29" s="5"/>
      <c r="K29" s="2">
        <f t="shared" ref="K29:K42" si="6">G29/F29</f>
        <v>1.0160847940163678</v>
      </c>
      <c r="L29" s="2">
        <f t="shared" ref="L29:L42" si="7">H29/F29</f>
        <v>1.0113286556286976</v>
      </c>
      <c r="M29">
        <f t="shared" ref="M29:M42" si="8">I29/F29</f>
        <v>1.0126055857494407</v>
      </c>
      <c r="N29" s="6"/>
      <c r="O29" s="4"/>
      <c r="P29" s="4"/>
      <c r="Q29" s="4"/>
    </row>
    <row r="30" spans="1:17" x14ac:dyDescent="0.3">
      <c r="A30" s="4"/>
      <c r="B30" s="4" t="s">
        <v>127</v>
      </c>
      <c r="C30" s="4" t="s">
        <v>145</v>
      </c>
      <c r="D30" s="8" t="s">
        <v>128</v>
      </c>
      <c r="E30" s="5">
        <v>0.44442552200000002</v>
      </c>
      <c r="F30" s="6">
        <v>0.62458471760797296</v>
      </c>
      <c r="G30" s="6">
        <v>0.61353797717434</v>
      </c>
      <c r="H30" s="6">
        <v>0.61559348332040298</v>
      </c>
      <c r="I30" s="16">
        <v>0.61681518791166201</v>
      </c>
      <c r="J30" s="5"/>
      <c r="K30" s="2">
        <f t="shared" si="6"/>
        <v>0.98231346345466208</v>
      </c>
      <c r="L30" s="2">
        <f t="shared" si="7"/>
        <v>0.98560445999702895</v>
      </c>
      <c r="M30">
        <f t="shared" si="8"/>
        <v>0.98756048702877874</v>
      </c>
      <c r="N30" s="6"/>
      <c r="O30" s="4"/>
      <c r="P30" s="4"/>
      <c r="Q30" s="4"/>
    </row>
    <row r="31" spans="1:17" x14ac:dyDescent="0.3">
      <c r="A31" s="4"/>
      <c r="B31" s="4" t="s">
        <v>129</v>
      </c>
      <c r="C31" s="4" t="s">
        <v>146</v>
      </c>
      <c r="D31" s="8" t="s">
        <v>68</v>
      </c>
      <c r="E31" s="5">
        <v>0.44817211600000001</v>
      </c>
      <c r="F31" s="6">
        <v>0.62078431372549003</v>
      </c>
      <c r="G31" s="6">
        <v>0.620540964327714</v>
      </c>
      <c r="H31" s="6">
        <v>0.61606969990319405</v>
      </c>
      <c r="I31" s="16">
        <v>0.61606969990319405</v>
      </c>
      <c r="J31" s="5"/>
      <c r="K31" s="2">
        <f t="shared" si="6"/>
        <v>0.99960799686397417</v>
      </c>
      <c r="L31" s="2">
        <f t="shared" si="7"/>
        <v>0.99240539150546125</v>
      </c>
      <c r="M31">
        <f t="shared" si="8"/>
        <v>0.99240539150546125</v>
      </c>
      <c r="N31" s="6"/>
      <c r="O31" s="4"/>
      <c r="P31" s="4"/>
      <c r="Q31" s="4"/>
    </row>
    <row r="32" spans="1:17" x14ac:dyDescent="0.3">
      <c r="A32" s="4"/>
      <c r="B32" s="4" t="s">
        <v>130</v>
      </c>
      <c r="C32" s="4" t="s">
        <v>147</v>
      </c>
      <c r="D32" s="8" t="s">
        <v>131</v>
      </c>
      <c r="E32" s="5">
        <v>0.230869664</v>
      </c>
      <c r="F32" s="6">
        <v>0.35259975816203099</v>
      </c>
      <c r="G32" s="6">
        <v>0.38905775075987797</v>
      </c>
      <c r="H32" s="6">
        <v>0.36654478976234001</v>
      </c>
      <c r="I32" s="16">
        <v>0.36671239140374901</v>
      </c>
      <c r="J32" s="5"/>
      <c r="K32" s="2">
        <f t="shared" si="6"/>
        <v>1.1033976676214661</v>
      </c>
      <c r="L32" s="2">
        <f t="shared" si="7"/>
        <v>1.0395491808417543</v>
      </c>
      <c r="M32">
        <f t="shared" si="8"/>
        <v>1.0400245119715392</v>
      </c>
      <c r="N32" s="6"/>
      <c r="O32" s="4"/>
      <c r="P32" s="4"/>
      <c r="Q32" s="4"/>
    </row>
    <row r="33" spans="1:17" x14ac:dyDescent="0.3">
      <c r="A33" s="4"/>
      <c r="B33" s="4" t="s">
        <v>132</v>
      </c>
      <c r="C33" s="4" t="s">
        <v>148</v>
      </c>
      <c r="D33" s="8" t="s">
        <v>131</v>
      </c>
      <c r="E33" s="5">
        <v>0.15463215299999999</v>
      </c>
      <c r="F33" s="6">
        <v>0.47593582887700497</v>
      </c>
      <c r="G33" s="6">
        <v>0.45930488341399001</v>
      </c>
      <c r="H33" s="6">
        <v>0.46887966804979198</v>
      </c>
      <c r="I33" s="16">
        <v>0.46941323345817698</v>
      </c>
      <c r="J33" s="5"/>
      <c r="K33" s="2">
        <f t="shared" si="6"/>
        <v>0.96505632807209207</v>
      </c>
      <c r="L33" s="2">
        <f t="shared" si="7"/>
        <v>0.98517413399226028</v>
      </c>
      <c r="M33">
        <f t="shared" si="8"/>
        <v>0.98629522086156363</v>
      </c>
      <c r="N33" s="6"/>
      <c r="O33" s="4"/>
      <c r="P33" s="4"/>
      <c r="Q33" s="4"/>
    </row>
    <row r="34" spans="1:17" x14ac:dyDescent="0.3">
      <c r="A34" s="4"/>
      <c r="B34" s="4" t="s">
        <v>133</v>
      </c>
      <c r="C34" s="4" t="s">
        <v>149</v>
      </c>
      <c r="D34" s="8" t="s">
        <v>131</v>
      </c>
      <c r="E34" s="5">
        <v>0.45725476799999998</v>
      </c>
      <c r="F34" s="6">
        <v>0.62677840576885602</v>
      </c>
      <c r="G34" s="6">
        <v>0.62236121970289204</v>
      </c>
      <c r="H34" s="6">
        <v>0.62749615975422401</v>
      </c>
      <c r="I34" s="16">
        <v>0.62749615975422401</v>
      </c>
      <c r="J34" s="5"/>
      <c r="K34" s="2">
        <f t="shared" si="6"/>
        <v>0.99295255544015515</v>
      </c>
      <c r="L34" s="2">
        <f t="shared" si="7"/>
        <v>1.0011451479163318</v>
      </c>
      <c r="M34">
        <f t="shared" si="8"/>
        <v>1.0011451479163318</v>
      </c>
      <c r="N34" s="6"/>
      <c r="O34" s="4"/>
      <c r="P34" s="4"/>
      <c r="Q34" s="4"/>
    </row>
    <row r="35" spans="1:17" x14ac:dyDescent="0.3">
      <c r="A35" s="4"/>
      <c r="B35" s="4" t="s">
        <v>134</v>
      </c>
      <c r="C35" s="4" t="s">
        <v>150</v>
      </c>
      <c r="D35" s="8" t="s">
        <v>131</v>
      </c>
      <c r="E35" s="5">
        <v>0.44851271599999998</v>
      </c>
      <c r="F35" s="6">
        <v>0.61420421011213799</v>
      </c>
      <c r="G35" s="6">
        <v>0.61795325083480601</v>
      </c>
      <c r="H35" s="6">
        <v>0.62564891367044795</v>
      </c>
      <c r="I35" s="16">
        <v>0.62533692722371903</v>
      </c>
      <c r="J35" s="5"/>
      <c r="K35" s="2">
        <f t="shared" si="6"/>
        <v>1.0061038994213074</v>
      </c>
      <c r="L35" s="2">
        <f t="shared" si="7"/>
        <v>1.0186333850694713</v>
      </c>
      <c r="M35">
        <f t="shared" si="8"/>
        <v>1.0181254327604634</v>
      </c>
      <c r="N35" s="6"/>
      <c r="O35" s="4"/>
      <c r="P35" s="4"/>
      <c r="Q35" s="4"/>
    </row>
    <row r="36" spans="1:17" x14ac:dyDescent="0.3">
      <c r="A36" s="4"/>
      <c r="B36" s="4" t="s">
        <v>135</v>
      </c>
      <c r="C36" s="4" t="s">
        <v>151</v>
      </c>
      <c r="D36" s="8" t="s">
        <v>131</v>
      </c>
      <c r="E36" s="5">
        <v>0.22820163500000001</v>
      </c>
      <c r="F36" s="6">
        <v>0.384633186762323</v>
      </c>
      <c r="G36" s="6">
        <v>0.387820512820512</v>
      </c>
      <c r="H36" s="6">
        <v>0.37026903784769699</v>
      </c>
      <c r="I36" s="16">
        <v>0.36814321781041998</v>
      </c>
      <c r="J36" s="5"/>
      <c r="K36" s="2">
        <f t="shared" si="6"/>
        <v>1.0082866641982158</v>
      </c>
      <c r="L36" s="2">
        <f t="shared" si="7"/>
        <v>0.96265494135974783</v>
      </c>
      <c r="M36">
        <f t="shared" si="8"/>
        <v>0.95712806507751325</v>
      </c>
      <c r="N36" s="6"/>
      <c r="O36" s="4"/>
      <c r="P36" s="4"/>
      <c r="Q36" s="4"/>
    </row>
    <row r="37" spans="1:17" x14ac:dyDescent="0.3">
      <c r="A37" s="4"/>
      <c r="B37" s="4" t="s">
        <v>136</v>
      </c>
      <c r="C37" s="4" t="s">
        <v>152</v>
      </c>
      <c r="D37" s="8" t="s">
        <v>131</v>
      </c>
      <c r="E37" s="5">
        <v>0.22513623999999999</v>
      </c>
      <c r="F37" s="6">
        <v>0.36207297234487001</v>
      </c>
      <c r="G37" s="6">
        <v>0.34492481203007003</v>
      </c>
      <c r="H37" s="6">
        <v>0.36071592473611702</v>
      </c>
      <c r="I37" s="16">
        <v>0.36316776007497598</v>
      </c>
      <c r="J37" s="5"/>
      <c r="K37" s="2">
        <f t="shared" si="6"/>
        <v>0.95263893848871273</v>
      </c>
      <c r="L37" s="2">
        <f t="shared" si="7"/>
        <v>0.99625200522434898</v>
      </c>
      <c r="M37">
        <f t="shared" si="8"/>
        <v>1.0030236659837266</v>
      </c>
      <c r="N37" s="6"/>
      <c r="O37" s="4"/>
      <c r="P37" s="4"/>
      <c r="Q37" s="4"/>
    </row>
    <row r="38" spans="1:17" x14ac:dyDescent="0.3">
      <c r="A38" s="4"/>
      <c r="B38" s="4" t="s">
        <v>137</v>
      </c>
      <c r="C38" s="4" t="s">
        <v>153</v>
      </c>
      <c r="D38" s="8" t="s">
        <v>131</v>
      </c>
      <c r="E38" s="5">
        <v>0.45373524100000001</v>
      </c>
      <c r="F38" s="6">
        <v>0.62355928892361701</v>
      </c>
      <c r="G38" s="6">
        <v>0.62280181782256405</v>
      </c>
      <c r="H38" s="6">
        <v>0.62749615975422401</v>
      </c>
      <c r="I38" s="16">
        <v>0.62720983858570301</v>
      </c>
      <c r="J38" s="5"/>
      <c r="K38" s="2">
        <f t="shared" si="6"/>
        <v>0.9987852460631923</v>
      </c>
      <c r="L38" s="2">
        <f t="shared" si="7"/>
        <v>1.0063135469241471</v>
      </c>
      <c r="M38">
        <f t="shared" si="8"/>
        <v>1.0058543745990658</v>
      </c>
      <c r="N38" s="6"/>
      <c r="O38" s="4"/>
      <c r="P38" s="4"/>
      <c r="Q38" s="4"/>
    </row>
    <row r="39" spans="1:17" x14ac:dyDescent="0.3">
      <c r="A39" s="4"/>
      <c r="B39" s="4" t="s">
        <v>138</v>
      </c>
      <c r="C39" s="4" t="s">
        <v>154</v>
      </c>
      <c r="D39" s="8" t="s">
        <v>131</v>
      </c>
      <c r="E39" s="5">
        <v>0.45799273400000001</v>
      </c>
      <c r="F39" s="6">
        <v>0.62570704115467102</v>
      </c>
      <c r="G39" s="6">
        <v>0.62697638102674202</v>
      </c>
      <c r="H39" s="6">
        <v>0.621939464044727</v>
      </c>
      <c r="I39" s="16">
        <v>0.62167373698418804</v>
      </c>
      <c r="J39" s="5"/>
      <c r="K39" s="2">
        <f t="shared" si="6"/>
        <v>1.0020286488541483</v>
      </c>
      <c r="L39" s="2">
        <f t="shared" si="7"/>
        <v>0.99397868832834069</v>
      </c>
      <c r="M39">
        <f t="shared" si="8"/>
        <v>0.99355400546070249</v>
      </c>
      <c r="N39" s="6"/>
      <c r="O39" s="4"/>
      <c r="P39" s="4"/>
      <c r="Q39" s="4"/>
    </row>
    <row r="40" spans="1:17" x14ac:dyDescent="0.3">
      <c r="A40" s="4"/>
      <c r="B40" s="4" t="s">
        <v>139</v>
      </c>
      <c r="C40" s="4" t="s">
        <v>122</v>
      </c>
      <c r="D40" s="8">
        <v>0</v>
      </c>
      <c r="E40" s="5">
        <v>0.179950045</v>
      </c>
      <c r="F40" s="6">
        <v>0.30554216867469802</v>
      </c>
      <c r="G40" s="6">
        <v>0.33957335655202397</v>
      </c>
      <c r="H40" s="6">
        <v>0.29261295720774499</v>
      </c>
      <c r="I40" s="16">
        <v>0.31673052362707499</v>
      </c>
      <c r="J40" s="5"/>
      <c r="K40" s="2">
        <f t="shared" si="6"/>
        <v>1.1113796764123842</v>
      </c>
      <c r="L40" s="2">
        <f t="shared" si="7"/>
        <v>0.95768436310106053</v>
      </c>
      <c r="M40">
        <f t="shared" si="8"/>
        <v>1.03661803868483</v>
      </c>
      <c r="N40" s="6"/>
      <c r="O40" s="4"/>
      <c r="P40" s="4"/>
      <c r="Q40" s="4"/>
    </row>
    <row r="41" spans="1:17" x14ac:dyDescent="0.3">
      <c r="A41" s="4"/>
      <c r="B41" s="4" t="s">
        <v>140</v>
      </c>
      <c r="C41" s="4" t="s">
        <v>155</v>
      </c>
      <c r="D41" s="8" t="s">
        <v>141</v>
      </c>
      <c r="E41" s="5">
        <v>0.45072661200000003</v>
      </c>
      <c r="F41" s="6">
        <v>0.62397179788484103</v>
      </c>
      <c r="G41" s="6">
        <v>0.62221353148220504</v>
      </c>
      <c r="H41" s="6">
        <v>0.61883581512279995</v>
      </c>
      <c r="I41" s="17">
        <v>0.61847700038654796</v>
      </c>
      <c r="J41" s="5"/>
      <c r="K41" s="2">
        <f t="shared" si="6"/>
        <v>0.99718213802515399</v>
      </c>
      <c r="L41" s="2">
        <f t="shared" si="7"/>
        <v>0.9917688863832449</v>
      </c>
      <c r="M41">
        <f t="shared" si="8"/>
        <v>0.99119383677768846</v>
      </c>
      <c r="N41" s="6"/>
      <c r="O41" s="4"/>
      <c r="P41" s="4"/>
      <c r="Q41" s="4"/>
    </row>
    <row r="42" spans="1:17" x14ac:dyDescent="0.3">
      <c r="A42" s="4"/>
      <c r="B42" s="4" t="s">
        <v>142</v>
      </c>
      <c r="C42" s="4" t="s">
        <v>156</v>
      </c>
      <c r="D42" s="8" t="s">
        <v>143</v>
      </c>
      <c r="E42" s="5">
        <v>0.22326294299999999</v>
      </c>
      <c r="F42" s="6">
        <v>0.38200183654729097</v>
      </c>
      <c r="G42" s="6">
        <v>0.35404016814572598</v>
      </c>
      <c r="H42" s="6">
        <v>0.36650652024708302</v>
      </c>
      <c r="I42" s="17">
        <v>0.36559139784946199</v>
      </c>
      <c r="J42" s="5"/>
      <c r="K42" s="2">
        <f t="shared" si="6"/>
        <v>0.92680226709301849</v>
      </c>
      <c r="L42" s="2">
        <f t="shared" si="7"/>
        <v>0.95943653978142673</v>
      </c>
      <c r="M42">
        <f t="shared" si="8"/>
        <v>0.95704094292803898</v>
      </c>
      <c r="N42" s="6"/>
      <c r="O42" s="4"/>
      <c r="P42" s="4"/>
      <c r="Q42" s="4"/>
    </row>
    <row r="43" spans="1:17" x14ac:dyDescent="0.3">
      <c r="A43" s="4"/>
      <c r="B43" s="4"/>
      <c r="C43" s="4"/>
      <c r="D43" s="8"/>
      <c r="E43" s="5"/>
      <c r="F43" s="5"/>
      <c r="G43" s="6"/>
      <c r="H43" s="6"/>
      <c r="I43" s="6"/>
      <c r="M43"/>
      <c r="N43" s="6"/>
      <c r="O43" s="4"/>
      <c r="P43" s="4"/>
      <c r="Q43" s="4"/>
    </row>
    <row r="44" spans="1:17" x14ac:dyDescent="0.3">
      <c r="A44" s="4"/>
      <c r="B44" s="4"/>
      <c r="C44" s="4"/>
      <c r="D44" s="8"/>
      <c r="E44" s="5"/>
      <c r="F44" s="5"/>
      <c r="G44" s="6"/>
      <c r="H44" s="6"/>
      <c r="I44" s="6"/>
      <c r="K44" s="14">
        <f>AVERAGE(K3:K42)</f>
        <v>1.1651375251559601</v>
      </c>
      <c r="L44" s="14">
        <f>AVERAGE(L3:L42)</f>
        <v>1.118327282492765</v>
      </c>
      <c r="M44" s="14">
        <f>AVERAGE(M3:M42)</f>
        <v>1.2270199624183158</v>
      </c>
      <c r="N44" s="6"/>
      <c r="O44" s="4"/>
      <c r="P44" s="4"/>
      <c r="Q44" s="4"/>
    </row>
    <row r="45" spans="1:17" x14ac:dyDescent="0.3">
      <c r="A45" s="4"/>
      <c r="B45" s="4"/>
      <c r="C45" s="4"/>
      <c r="D45" s="8"/>
      <c r="E45" s="5"/>
      <c r="F45" s="5"/>
      <c r="G45" s="6"/>
      <c r="H45" s="6"/>
      <c r="I45" s="6"/>
      <c r="K45" s="6"/>
      <c r="L45" s="6"/>
      <c r="M45" s="6"/>
      <c r="N45" s="6"/>
      <c r="O45" s="4"/>
      <c r="P45" s="4"/>
      <c r="Q45" s="4"/>
    </row>
    <row r="46" spans="1:17" x14ac:dyDescent="0.3">
      <c r="A46" s="4" t="s">
        <v>2</v>
      </c>
      <c r="B46" s="4" t="s">
        <v>11</v>
      </c>
      <c r="C46" s="4"/>
      <c r="D46" s="18" t="s">
        <v>19</v>
      </c>
      <c r="E46" s="18"/>
      <c r="F46" s="18"/>
      <c r="G46" s="18"/>
      <c r="H46" s="19" t="s">
        <v>8</v>
      </c>
      <c r="I46" s="19"/>
      <c r="J46" s="19"/>
      <c r="K46" s="19"/>
      <c r="L46" s="4"/>
    </row>
    <row r="47" spans="1:17" x14ac:dyDescent="0.3">
      <c r="A47" s="4" t="s">
        <v>0</v>
      </c>
      <c r="B47" s="4" t="s">
        <v>4</v>
      </c>
      <c r="C47" s="4"/>
      <c r="D47" s="9" t="s">
        <v>15</v>
      </c>
      <c r="E47" s="12" t="s">
        <v>16</v>
      </c>
      <c r="F47" s="13" t="s">
        <v>17</v>
      </c>
      <c r="G47" s="12" t="s">
        <v>13</v>
      </c>
      <c r="H47" s="11" t="s">
        <v>20</v>
      </c>
      <c r="I47" s="11" t="s">
        <v>21</v>
      </c>
      <c r="J47" s="11" t="s">
        <v>22</v>
      </c>
      <c r="K47" s="11" t="s">
        <v>23</v>
      </c>
      <c r="M47" s="11" t="s">
        <v>21</v>
      </c>
      <c r="N47" s="11" t="s">
        <v>22</v>
      </c>
      <c r="O47" s="11" t="s">
        <v>23</v>
      </c>
    </row>
    <row r="48" spans="1:17" x14ac:dyDescent="0.3">
      <c r="A48" s="4" t="s">
        <v>1</v>
      </c>
      <c r="B48" s="4" t="s">
        <v>12</v>
      </c>
      <c r="C48" s="4" t="s">
        <v>46</v>
      </c>
      <c r="D48" s="3">
        <v>106</v>
      </c>
      <c r="E48" s="3">
        <v>159</v>
      </c>
      <c r="F48" s="2">
        <v>133.39369160000001</v>
      </c>
      <c r="G48" s="2">
        <v>9.5907693849999998</v>
      </c>
      <c r="H48" s="6">
        <v>0.85854017835728302</v>
      </c>
      <c r="I48" s="2">
        <v>0.70582944088975297</v>
      </c>
      <c r="J48" s="6">
        <v>0.66492562201487204</v>
      </c>
      <c r="K48" s="6">
        <v>0.64485797439450399</v>
      </c>
      <c r="M48" s="2">
        <f>I48/H48</f>
        <v>0.82212744223604728</v>
      </c>
      <c r="N48" s="2">
        <f>J48/H48</f>
        <v>0.77448398895801251</v>
      </c>
      <c r="O48">
        <f>K48/H48</f>
        <v>0.75110983813054022</v>
      </c>
    </row>
    <row r="49" spans="1:15" x14ac:dyDescent="0.3">
      <c r="A49" s="4"/>
      <c r="B49" s="4" t="s">
        <v>14</v>
      </c>
      <c r="C49" s="4" t="s">
        <v>45</v>
      </c>
      <c r="D49" s="4">
        <v>12</v>
      </c>
      <c r="E49" s="7">
        <v>86</v>
      </c>
      <c r="F49" s="2">
        <v>47.34</v>
      </c>
      <c r="G49" s="7">
        <v>17.27392322</v>
      </c>
      <c r="H49" s="6">
        <v>0.84657057352768295</v>
      </c>
      <c r="I49" s="2">
        <v>0.68420356392860304</v>
      </c>
      <c r="J49" s="6">
        <v>0.61399060784340598</v>
      </c>
      <c r="K49" s="6">
        <v>0.63083949269872397</v>
      </c>
      <c r="M49" s="2">
        <f t="shared" ref="M49:M62" si="9">I49/H49</f>
        <v>0.80820617361823466</v>
      </c>
      <c r="N49" s="2">
        <f t="shared" ref="N49:N62" si="10">J49/H49</f>
        <v>0.72526807219968703</v>
      </c>
      <c r="O49">
        <f t="shared" ref="O49:O62" si="11">K49/H49</f>
        <v>0.74517058875552267</v>
      </c>
    </row>
    <row r="50" spans="1:15" x14ac:dyDescent="0.3">
      <c r="A50" s="4" t="s">
        <v>24</v>
      </c>
      <c r="B50" t="s">
        <v>31</v>
      </c>
      <c r="C50" t="s">
        <v>47</v>
      </c>
      <c r="D50" s="6">
        <v>0.08</v>
      </c>
      <c r="E50" s="2">
        <v>82</v>
      </c>
      <c r="F50" s="6">
        <v>43.242062060000002</v>
      </c>
      <c r="G50" s="6">
        <v>22.566515379999998</v>
      </c>
      <c r="H50" s="6">
        <v>0.71263753069636304</v>
      </c>
      <c r="I50" s="2">
        <v>0.84832515995699398</v>
      </c>
      <c r="J50" s="6">
        <v>0.70786462621613899</v>
      </c>
      <c r="K50" s="6">
        <v>0.85718721480962401</v>
      </c>
      <c r="M50" s="2">
        <f t="shared" si="9"/>
        <v>1.1904020254561136</v>
      </c>
      <c r="N50" s="2">
        <f t="shared" si="10"/>
        <v>0.99330247948692774</v>
      </c>
      <c r="O50">
        <f t="shared" si="11"/>
        <v>1.2028375967962455</v>
      </c>
    </row>
    <row r="51" spans="1:15" x14ac:dyDescent="0.3">
      <c r="B51" t="s">
        <v>32</v>
      </c>
      <c r="C51" s="4" t="s">
        <v>48</v>
      </c>
      <c r="D51" s="6">
        <v>55.12</v>
      </c>
      <c r="E51" s="2">
        <v>267.76</v>
      </c>
      <c r="F51" s="6">
        <v>105.5484364</v>
      </c>
      <c r="G51" s="6">
        <v>45.141939149999999</v>
      </c>
      <c r="H51" s="6">
        <v>0.64837752075543498</v>
      </c>
      <c r="I51" s="2">
        <v>0.85653987573947299</v>
      </c>
      <c r="J51" s="6">
        <v>0.71137649225258603</v>
      </c>
      <c r="K51" s="6">
        <v>0.84509438219609301</v>
      </c>
      <c r="M51" s="2">
        <f t="shared" si="9"/>
        <v>1.3210511597340771</v>
      </c>
      <c r="N51" s="2">
        <f>J51/H51</f>
        <v>1.0971640278702908</v>
      </c>
      <c r="O51">
        <f t="shared" si="11"/>
        <v>1.3033986453007502</v>
      </c>
    </row>
    <row r="52" spans="1:15" x14ac:dyDescent="0.3">
      <c r="B52" t="s">
        <v>33</v>
      </c>
      <c r="C52" s="4" t="s">
        <v>49</v>
      </c>
      <c r="D52" s="6">
        <v>10.3</v>
      </c>
      <c r="E52" s="2">
        <v>97.6</v>
      </c>
      <c r="F52" s="6">
        <v>28.926214089999998</v>
      </c>
      <c r="G52" s="6">
        <v>7.8269762949999997</v>
      </c>
      <c r="H52" s="6">
        <v>0.64341227847768401</v>
      </c>
      <c r="I52" s="2">
        <v>0.65689275408006798</v>
      </c>
      <c r="J52" s="6">
        <v>0.660433175249585</v>
      </c>
      <c r="K52" s="6">
        <v>0.68769165853494596</v>
      </c>
      <c r="M52" s="2">
        <f t="shared" si="9"/>
        <v>1.0209515361352426</v>
      </c>
      <c r="N52" s="2">
        <f t="shared" si="10"/>
        <v>1.0264541062414483</v>
      </c>
      <c r="O52">
        <f t="shared" si="11"/>
        <v>1.0688196068654878</v>
      </c>
    </row>
    <row r="53" spans="1:15" x14ac:dyDescent="0.3">
      <c r="A53" s="4" t="s">
        <v>34</v>
      </c>
      <c r="B53" t="s">
        <v>35</v>
      </c>
      <c r="C53" t="s">
        <v>50</v>
      </c>
      <c r="D53" s="2">
        <v>-3.498799</v>
      </c>
      <c r="E53" s="2">
        <v>11.819915999999999</v>
      </c>
      <c r="F53" s="2">
        <v>8.5244400000000005E-4</v>
      </c>
      <c r="G53" s="2">
        <v>0.99138380100000001</v>
      </c>
      <c r="H53" s="2">
        <v>0.99300345932108802</v>
      </c>
      <c r="I53" s="2">
        <v>0.99805888435204904</v>
      </c>
      <c r="J53" s="2">
        <v>0.87699560103308605</v>
      </c>
      <c r="K53" s="2">
        <v>0.99805195254166501</v>
      </c>
      <c r="M53" s="2">
        <f t="shared" si="9"/>
        <v>1.0050910447325303</v>
      </c>
      <c r="N53" s="2">
        <f t="shared" si="10"/>
        <v>0.88317476923261073</v>
      </c>
      <c r="O53">
        <f t="shared" si="11"/>
        <v>1.0050840640817391</v>
      </c>
    </row>
    <row r="54" spans="1:15" x14ac:dyDescent="0.3">
      <c r="B54" t="s">
        <v>36</v>
      </c>
      <c r="C54" t="s">
        <v>52</v>
      </c>
      <c r="D54" s="2">
        <v>-2.4267609999999999</v>
      </c>
      <c r="E54" s="2">
        <v>386</v>
      </c>
      <c r="F54" s="2">
        <v>3.3610592000000002E-2</v>
      </c>
      <c r="G54" s="2">
        <v>3.9206804970000002</v>
      </c>
      <c r="H54" s="2">
        <v>0.99682105912191099</v>
      </c>
      <c r="I54" s="2">
        <v>0.99792537079235899</v>
      </c>
      <c r="J54" s="2">
        <v>0.95040565723794301</v>
      </c>
      <c r="K54" s="2">
        <v>0.99791804684229901</v>
      </c>
      <c r="M54" s="2">
        <f t="shared" si="9"/>
        <v>1.0011078334073527</v>
      </c>
      <c r="N54" s="2">
        <f t="shared" si="10"/>
        <v>0.95343657574323837</v>
      </c>
      <c r="O54">
        <f t="shared" si="11"/>
        <v>1.0011004861006392</v>
      </c>
    </row>
    <row r="55" spans="1:15" x14ac:dyDescent="0.3">
      <c r="B55" t="s">
        <v>37</v>
      </c>
      <c r="C55" t="s">
        <v>53</v>
      </c>
      <c r="D55" s="2">
        <v>-3.210528</v>
      </c>
      <c r="E55" s="2">
        <v>50</v>
      </c>
      <c r="F55" s="2">
        <v>-5.2534200000000004E-4</v>
      </c>
      <c r="G55" s="2">
        <v>1.1201482780000001</v>
      </c>
      <c r="H55" s="2">
        <v>0.99131618727898196</v>
      </c>
      <c r="I55" s="2">
        <v>0.99426634732761299</v>
      </c>
      <c r="J55" s="2">
        <v>0.86969762453569399</v>
      </c>
      <c r="K55" s="2">
        <v>0.99442282760504797</v>
      </c>
      <c r="M55" s="2">
        <f t="shared" si="9"/>
        <v>1.0029760031022279</v>
      </c>
      <c r="N55" s="2">
        <f t="shared" si="10"/>
        <v>0.87731607301085923</v>
      </c>
      <c r="O55">
        <f t="shared" si="11"/>
        <v>1.0031338541284121</v>
      </c>
    </row>
    <row r="56" spans="1:15" x14ac:dyDescent="0.3">
      <c r="B56" t="s">
        <v>38</v>
      </c>
      <c r="C56" t="s">
        <v>54</v>
      </c>
      <c r="D56" s="2">
        <v>-5.4401219999999997</v>
      </c>
      <c r="E56" s="2">
        <v>3.987152</v>
      </c>
      <c r="F56" s="2">
        <v>-2.3866680000000002E-3</v>
      </c>
      <c r="G56" s="2">
        <v>1.008478223</v>
      </c>
      <c r="H56" s="2">
        <v>0.87067179230448</v>
      </c>
      <c r="I56" s="2">
        <v>0.877651512339371</v>
      </c>
      <c r="J56" s="2">
        <v>0.69859517119361703</v>
      </c>
      <c r="K56" s="2">
        <v>0.876150227833701</v>
      </c>
      <c r="M56" s="2">
        <f t="shared" si="9"/>
        <v>1.0080164765834634</v>
      </c>
      <c r="N56" s="2">
        <f t="shared" si="10"/>
        <v>0.80236339039374027</v>
      </c>
      <c r="O56">
        <f t="shared" si="11"/>
        <v>1.0062921936574065</v>
      </c>
    </row>
    <row r="57" spans="1:15" x14ac:dyDescent="0.3">
      <c r="B57" t="s">
        <v>39</v>
      </c>
      <c r="C57" t="s">
        <v>55</v>
      </c>
      <c r="D57" s="2">
        <v>-4.9222149999999996</v>
      </c>
      <c r="E57" s="2">
        <v>1.0661210000000001</v>
      </c>
      <c r="F57" s="2">
        <v>6.3695319999999998E-3</v>
      </c>
      <c r="G57" s="2">
        <v>0.99200575999999996</v>
      </c>
      <c r="H57" s="2">
        <v>0.98889229755712005</v>
      </c>
      <c r="I57" s="2">
        <v>0.99761626831170003</v>
      </c>
      <c r="J57" s="2">
        <v>0.91516954422798102</v>
      </c>
      <c r="K57" s="2">
        <v>0.99761173118771995</v>
      </c>
      <c r="M57" s="2">
        <f t="shared" si="9"/>
        <v>1.0088219624888686</v>
      </c>
      <c r="N57" s="2">
        <f t="shared" si="10"/>
        <v>0.92544915810219397</v>
      </c>
      <c r="O57">
        <f t="shared" si="11"/>
        <v>1.0088173744017823</v>
      </c>
    </row>
    <row r="58" spans="1:15" x14ac:dyDescent="0.3">
      <c r="B58" t="s">
        <v>40</v>
      </c>
      <c r="C58" t="s">
        <v>56</v>
      </c>
      <c r="D58" s="2">
        <v>-7.4502569999999997</v>
      </c>
      <c r="E58" s="2">
        <v>53</v>
      </c>
      <c r="F58" s="2">
        <v>1.3972864E-2</v>
      </c>
      <c r="G58" s="2">
        <v>1.126191111</v>
      </c>
      <c r="H58" s="2">
        <v>0.96516796880047995</v>
      </c>
      <c r="I58" s="2">
        <v>0.724894787051096</v>
      </c>
      <c r="J58" s="2">
        <v>0.724894787051096</v>
      </c>
      <c r="K58" s="2">
        <v>0.72562754950980202</v>
      </c>
      <c r="M58" s="2">
        <f t="shared" si="9"/>
        <v>0.75105557839015546</v>
      </c>
      <c r="N58" s="2">
        <f t="shared" si="10"/>
        <v>0.75105557839015546</v>
      </c>
      <c r="O58">
        <f t="shared" si="11"/>
        <v>0.75181478557729065</v>
      </c>
    </row>
    <row r="59" spans="1:15" x14ac:dyDescent="0.3">
      <c r="B59" t="s">
        <v>41</v>
      </c>
      <c r="C59" t="s">
        <v>57</v>
      </c>
      <c r="D59" s="2">
        <v>-11.935457</v>
      </c>
      <c r="E59" s="2">
        <v>83</v>
      </c>
      <c r="F59" s="2">
        <v>5.6054119999999997E-3</v>
      </c>
      <c r="G59" s="2">
        <v>1.3136913029999999</v>
      </c>
      <c r="H59" s="2">
        <v>0.94596143722858805</v>
      </c>
      <c r="I59" s="2">
        <v>0.83765266068881195</v>
      </c>
      <c r="J59" s="2">
        <v>0.84394667767186304</v>
      </c>
      <c r="K59" s="2">
        <v>0.83761797655819104</v>
      </c>
      <c r="M59" s="2">
        <f t="shared" si="9"/>
        <v>0.88550402555828112</v>
      </c>
      <c r="N59" s="2">
        <f t="shared" si="10"/>
        <v>0.89215759169253162</v>
      </c>
      <c r="O59">
        <f t="shared" si="11"/>
        <v>0.88546736007779114</v>
      </c>
    </row>
    <row r="60" spans="1:15" x14ac:dyDescent="0.3">
      <c r="B60" t="s">
        <v>42</v>
      </c>
      <c r="C60" t="s">
        <v>58</v>
      </c>
      <c r="D60" s="2">
        <v>-4.2477809999999998</v>
      </c>
      <c r="E60" s="2">
        <v>13.173081</v>
      </c>
      <c r="F60" s="2">
        <v>1.0322553E-2</v>
      </c>
      <c r="G60" s="2">
        <v>1.003458977</v>
      </c>
      <c r="H60" s="2">
        <v>0.77260915572267097</v>
      </c>
      <c r="I60" s="2">
        <v>0.71773744370613701</v>
      </c>
      <c r="J60" s="2">
        <v>0.70050895094390597</v>
      </c>
      <c r="K60" s="2">
        <v>0.71576279962838196</v>
      </c>
      <c r="M60" s="2">
        <f t="shared" si="9"/>
        <v>0.92897869302984259</v>
      </c>
      <c r="N60" s="2">
        <f t="shared" si="10"/>
        <v>0.90667958793301506</v>
      </c>
      <c r="O60">
        <f t="shared" si="11"/>
        <v>0.92642288060757327</v>
      </c>
    </row>
    <row r="61" spans="1:15" x14ac:dyDescent="0.3">
      <c r="B61" t="s">
        <v>43</v>
      </c>
      <c r="C61" t="s">
        <v>59</v>
      </c>
      <c r="D61" s="2">
        <v>-5.486218</v>
      </c>
      <c r="E61" s="2">
        <v>44</v>
      </c>
      <c r="F61" s="2">
        <v>1.2914099E-2</v>
      </c>
      <c r="G61" s="2">
        <v>1.0876133379999999</v>
      </c>
      <c r="H61" s="2">
        <v>0.81430498782953098</v>
      </c>
      <c r="I61" s="2">
        <v>0.74298514896786505</v>
      </c>
      <c r="J61" s="2">
        <v>0.76747215148974202</v>
      </c>
      <c r="K61" s="2">
        <v>0.74337317810690395</v>
      </c>
      <c r="M61" s="2">
        <f t="shared" si="9"/>
        <v>0.91241630601850587</v>
      </c>
      <c r="N61" s="2">
        <f t="shared" si="10"/>
        <v>0.94248735174198262</v>
      </c>
      <c r="O61">
        <f t="shared" si="11"/>
        <v>0.91289282175258379</v>
      </c>
    </row>
    <row r="62" spans="1:15" x14ac:dyDescent="0.3">
      <c r="B62" t="s">
        <v>44</v>
      </c>
      <c r="C62" t="s">
        <v>51</v>
      </c>
      <c r="D62" s="2">
        <v>-6.7193240000000003</v>
      </c>
      <c r="E62" s="2">
        <v>4.6712319999999998</v>
      </c>
      <c r="F62" s="2">
        <v>8.17722E-4</v>
      </c>
      <c r="G62" s="2">
        <v>1.0070456679999999</v>
      </c>
      <c r="H62" s="2">
        <v>0.96590725297370195</v>
      </c>
      <c r="I62" s="2">
        <v>0.87994655298620605</v>
      </c>
      <c r="J62" s="2">
        <v>0.88288401864209298</v>
      </c>
      <c r="K62" s="2">
        <v>0.88100325524582201</v>
      </c>
      <c r="M62" s="2">
        <f t="shared" si="9"/>
        <v>0.9110052236145324</v>
      </c>
      <c r="N62" s="2">
        <f t="shared" si="10"/>
        <v>0.91404637031556757</v>
      </c>
      <c r="O62">
        <f t="shared" si="11"/>
        <v>0.91209922332968385</v>
      </c>
    </row>
    <row r="63" spans="1:15" x14ac:dyDescent="0.3">
      <c r="A63" s="4" t="s">
        <v>118</v>
      </c>
      <c r="B63" t="s">
        <v>119</v>
      </c>
      <c r="C63" t="s">
        <v>122</v>
      </c>
      <c r="D63" s="2">
        <v>0</v>
      </c>
      <c r="E63" s="2">
        <v>14</v>
      </c>
      <c r="F63" s="15">
        <v>6.9888767319999996</v>
      </c>
      <c r="G63" s="2">
        <v>4.3246206840000001</v>
      </c>
      <c r="H63" s="2">
        <v>0.577932661937967</v>
      </c>
      <c r="I63" s="2">
        <v>0.613791765332101</v>
      </c>
      <c r="J63" s="2">
        <v>0.72231483872879998</v>
      </c>
      <c r="K63" s="2">
        <v>0.73894110475786801</v>
      </c>
      <c r="M63" s="2">
        <f t="shared" ref="M63:M64" si="12">I63/H63</f>
        <v>1.0620471998829215</v>
      </c>
      <c r="N63" s="2">
        <f t="shared" ref="N63:N64" si="13">J63/H63</f>
        <v>1.2498252587190346</v>
      </c>
      <c r="O63">
        <f t="shared" ref="O63:O64" si="14">K63/H63</f>
        <v>1.2785937764444657</v>
      </c>
    </row>
    <row r="64" spans="1:15" x14ac:dyDescent="0.3">
      <c r="B64" t="s">
        <v>120</v>
      </c>
      <c r="C64" t="s">
        <v>123</v>
      </c>
      <c r="D64" s="2">
        <v>4.0927270340000002</v>
      </c>
      <c r="E64" s="2">
        <v>5.6098289699999997</v>
      </c>
      <c r="F64" s="15">
        <v>4.899184054</v>
      </c>
      <c r="G64" s="2">
        <v>0.19955785700000001</v>
      </c>
      <c r="H64" s="2">
        <v>0.60702278909864305</v>
      </c>
      <c r="I64" s="2">
        <v>0.61627703701876702</v>
      </c>
      <c r="J64" s="2">
        <v>0.72217296375115902</v>
      </c>
      <c r="K64" s="2">
        <v>0.73129980171040299</v>
      </c>
      <c r="M64" s="2">
        <f t="shared" si="12"/>
        <v>1.0152453055903641</v>
      </c>
      <c r="N64" s="2">
        <f t="shared" si="13"/>
        <v>1.1896966254323011</v>
      </c>
      <c r="O64">
        <f t="shared" si="14"/>
        <v>1.2047320378140935</v>
      </c>
    </row>
    <row r="65" spans="1:15" x14ac:dyDescent="0.3">
      <c r="B65" t="s">
        <v>121</v>
      </c>
      <c r="C65" t="s">
        <v>124</v>
      </c>
      <c r="D65" s="2">
        <v>3</v>
      </c>
      <c r="E65" s="2">
        <v>12</v>
      </c>
      <c r="F65" s="15">
        <v>7.4942057990000004</v>
      </c>
      <c r="G65" s="2">
        <v>2.6486368950000001</v>
      </c>
      <c r="H65" s="2">
        <v>0.58882720730358395</v>
      </c>
      <c r="I65" s="2">
        <v>0.621768348137133</v>
      </c>
      <c r="J65" s="2">
        <v>0.74116952866458996</v>
      </c>
      <c r="K65" s="2">
        <v>0.76032710109469104</v>
      </c>
      <c r="M65" s="2">
        <f>I65/H65</f>
        <v>1.0559436459880929</v>
      </c>
      <c r="N65" s="2">
        <f>J65/H65</f>
        <v>1.258721607071499</v>
      </c>
      <c r="O65">
        <f>K65/H65</f>
        <v>1.2912567416448986</v>
      </c>
    </row>
    <row r="66" spans="1:15" x14ac:dyDescent="0.3">
      <c r="D66" s="2"/>
      <c r="E66" s="2"/>
      <c r="F66" s="15"/>
    </row>
    <row r="67" spans="1:15" x14ac:dyDescent="0.3">
      <c r="D67" s="18" t="s">
        <v>19</v>
      </c>
      <c r="E67" s="18"/>
      <c r="F67" s="18"/>
      <c r="G67" s="18"/>
      <c r="H67" s="19" t="s">
        <v>8</v>
      </c>
      <c r="I67" s="19"/>
      <c r="J67" s="19"/>
      <c r="K67" s="19"/>
    </row>
    <row r="68" spans="1:15" x14ac:dyDescent="0.3">
      <c r="D68" s="9" t="s">
        <v>15</v>
      </c>
      <c r="E68" s="12" t="s">
        <v>16</v>
      </c>
      <c r="F68" s="13" t="s">
        <v>17</v>
      </c>
      <c r="G68" s="12" t="s">
        <v>13</v>
      </c>
      <c r="H68" s="11" t="s">
        <v>20</v>
      </c>
      <c r="I68" s="11" t="s">
        <v>21</v>
      </c>
      <c r="J68" s="11" t="s">
        <v>22</v>
      </c>
      <c r="K68" s="11" t="s">
        <v>23</v>
      </c>
    </row>
    <row r="69" spans="1:15" x14ac:dyDescent="0.3">
      <c r="A69" s="4" t="s">
        <v>157</v>
      </c>
      <c r="B69" t="str">
        <f>"X"&amp;C69</f>
        <v>X1</v>
      </c>
      <c r="C69" s="4">
        <v>1</v>
      </c>
      <c r="D69" s="15">
        <v>-10.083</v>
      </c>
      <c r="E69" s="15">
        <v>87.459000000000003</v>
      </c>
      <c r="F69" s="15">
        <v>6.6908911551577299E-2</v>
      </c>
      <c r="G69" s="15">
        <v>1.3045538762575299</v>
      </c>
      <c r="H69" s="20">
        <v>0.99306954079596699</v>
      </c>
      <c r="I69" s="20">
        <v>0.94497047172440995</v>
      </c>
      <c r="J69" s="20">
        <v>0.99125949840571004</v>
      </c>
      <c r="K69" s="20">
        <v>0.94497047172440995</v>
      </c>
      <c r="M69" s="14">
        <f>AVERAGE(M48:M65)</f>
        <v>0.98394153530926998</v>
      </c>
      <c r="N69" s="14">
        <f>AVERAGE(N48:N65)</f>
        <v>0.95350458958528328</v>
      </c>
      <c r="O69" s="14">
        <f>AVERAGE(O48:O65)</f>
        <v>1.0143913264148281</v>
      </c>
    </row>
    <row r="70" spans="1:15" x14ac:dyDescent="0.3">
      <c r="B70" t="str">
        <f>"X"&amp;C70</f>
        <v>X2</v>
      </c>
      <c r="C70">
        <f>C69+1</f>
        <v>2</v>
      </c>
      <c r="D70" s="2">
        <v>-430.87</v>
      </c>
      <c r="E70" s="2">
        <v>25.64</v>
      </c>
      <c r="F70" s="2">
        <v>0.42745439460836399</v>
      </c>
      <c r="G70" s="2">
        <v>6.3133023751168604</v>
      </c>
      <c r="H70" s="21">
        <v>0.998590528842764</v>
      </c>
      <c r="I70" s="21">
        <v>0.96895558844044904</v>
      </c>
      <c r="J70" s="21">
        <v>0.99866205415917397</v>
      </c>
      <c r="K70" s="21">
        <v>0.96895558844044904</v>
      </c>
    </row>
    <row r="71" spans="1:15" x14ac:dyDescent="0.3">
      <c r="B71" t="str">
        <f>"X"&amp;C71</f>
        <v>X3</v>
      </c>
      <c r="C71">
        <f>C70+1</f>
        <v>3</v>
      </c>
      <c r="D71" s="2">
        <v>-24.661999999999999</v>
      </c>
      <c r="E71" s="2">
        <v>28.335999999999999</v>
      </c>
      <c r="F71" s="2">
        <v>0.20024512311930501</v>
      </c>
      <c r="G71" s="2">
        <v>0.75124786198703697</v>
      </c>
      <c r="H71" s="21">
        <v>0.98981990052867297</v>
      </c>
      <c r="I71" s="21">
        <v>0.80158321313879399</v>
      </c>
      <c r="J71" s="21">
        <v>0.98680207421272903</v>
      </c>
      <c r="K71" s="21">
        <v>0.80158321313879399</v>
      </c>
    </row>
    <row r="72" spans="1:15" x14ac:dyDescent="0.3">
      <c r="B72" t="str">
        <f>"X"&amp;C72</f>
        <v>X4</v>
      </c>
      <c r="C72">
        <f>C71+1</f>
        <v>4</v>
      </c>
      <c r="D72" s="2">
        <v>-0.40311000000000002</v>
      </c>
      <c r="E72" s="2">
        <v>6845.8</v>
      </c>
      <c r="F72" s="2">
        <v>5.1541342004671904</v>
      </c>
      <c r="G72" s="2">
        <v>101.86056691863899</v>
      </c>
      <c r="H72" s="21">
        <v>0.994961639735502</v>
      </c>
      <c r="I72" s="21">
        <v>0.93120999492515699</v>
      </c>
      <c r="J72" s="21">
        <v>0.98952640838803496</v>
      </c>
      <c r="K72" s="21">
        <v>0.93120999492515699</v>
      </c>
    </row>
    <row r="73" spans="1:15" x14ac:dyDescent="0.3">
      <c r="B73" t="str">
        <f>"X"&amp;C73</f>
        <v>X5</v>
      </c>
      <c r="C73">
        <f>C72+1</f>
        <v>5</v>
      </c>
      <c r="D73" s="2">
        <v>-1076400</v>
      </c>
      <c r="E73" s="2">
        <v>1250100</v>
      </c>
      <c r="F73" s="2">
        <v>33.213114105720599</v>
      </c>
      <c r="G73" s="2">
        <v>24057.777256997499</v>
      </c>
      <c r="H73" s="21">
        <v>0.99509142598553002</v>
      </c>
      <c r="I73" s="21">
        <v>0.994738783046346</v>
      </c>
      <c r="J73" s="21">
        <v>0.99495891866930297</v>
      </c>
      <c r="K73" s="21">
        <v>0.994738783046346</v>
      </c>
    </row>
    <row r="74" spans="1:15" x14ac:dyDescent="0.3">
      <c r="B74" t="str">
        <f>"X"&amp;C74</f>
        <v>X6</v>
      </c>
      <c r="C74">
        <f>C73+1</f>
        <v>6</v>
      </c>
      <c r="D74" s="2">
        <v>-69.02</v>
      </c>
      <c r="E74" s="2">
        <v>543.25</v>
      </c>
      <c r="F74" s="2">
        <v>0.28375515591948097</v>
      </c>
      <c r="G74" s="2">
        <v>11.068945030287001</v>
      </c>
      <c r="H74" s="21">
        <v>0.98228503772074904</v>
      </c>
      <c r="I74" s="21">
        <v>0.976900653651807</v>
      </c>
      <c r="J74" s="21">
        <v>0.984264030178431</v>
      </c>
      <c r="K74" s="21">
        <v>0.976900653651807</v>
      </c>
    </row>
    <row r="75" spans="1:15" x14ac:dyDescent="0.3">
      <c r="B75" t="str">
        <f>"X"&amp;C75</f>
        <v>X7</v>
      </c>
      <c r="C75">
        <f>C74+1</f>
        <v>7</v>
      </c>
      <c r="D75" s="2">
        <v>-517.48</v>
      </c>
      <c r="E75" s="2">
        <v>5.53</v>
      </c>
      <c r="F75" s="2">
        <v>-4.84216197033897E-2</v>
      </c>
      <c r="G75" s="2">
        <v>7.5375297975605102</v>
      </c>
      <c r="H75" s="21">
        <v>0.999395557741804</v>
      </c>
      <c r="I75" s="21">
        <v>0.98796920870312399</v>
      </c>
      <c r="J75" s="21">
        <v>0.99870248345103296</v>
      </c>
      <c r="K75" s="21">
        <v>0.98796920870312399</v>
      </c>
    </row>
    <row r="76" spans="1:15" x14ac:dyDescent="0.3">
      <c r="B76" t="str">
        <f>"X"&amp;C76</f>
        <v>X8</v>
      </c>
      <c r="C76">
        <f>C75+1</f>
        <v>8</v>
      </c>
      <c r="D76" s="2">
        <v>-3.7351000000000001</v>
      </c>
      <c r="E76" s="2">
        <v>6868.5</v>
      </c>
      <c r="F76" s="2">
        <v>6.3104904963906598</v>
      </c>
      <c r="G76" s="2">
        <v>114.165905357694</v>
      </c>
      <c r="H76" s="21">
        <v>0.995784068481675</v>
      </c>
      <c r="I76" s="21">
        <v>0.92230664775611504</v>
      </c>
      <c r="J76" s="21">
        <v>0.99179653517287802</v>
      </c>
      <c r="K76" s="21">
        <v>0.92230664775611504</v>
      </c>
    </row>
    <row r="77" spans="1:15" x14ac:dyDescent="0.3">
      <c r="B77" t="str">
        <f>"X"&amp;C77</f>
        <v>X9</v>
      </c>
      <c r="C77">
        <f>C76+1</f>
        <v>9</v>
      </c>
      <c r="D77" s="2">
        <v>-3.496</v>
      </c>
      <c r="E77" s="2">
        <v>65.606999999999999</v>
      </c>
      <c r="F77" s="2">
        <v>1.5744233080177701</v>
      </c>
      <c r="G77" s="2">
        <v>1.59038140604619</v>
      </c>
      <c r="H77" s="21">
        <v>0.97391493964215803</v>
      </c>
      <c r="I77" s="21">
        <v>0.80274920446268105</v>
      </c>
      <c r="J77" s="21">
        <v>0.975757162333032</v>
      </c>
      <c r="K77" s="21">
        <v>0.80274920446268105</v>
      </c>
    </row>
    <row r="78" spans="1:15" x14ac:dyDescent="0.3">
      <c r="B78" t="str">
        <f>"X"&amp;C78</f>
        <v>X10</v>
      </c>
      <c r="C78">
        <f>C77+1</f>
        <v>10</v>
      </c>
      <c r="D78" s="2">
        <v>-24.64</v>
      </c>
      <c r="E78" s="2">
        <v>339.85</v>
      </c>
      <c r="F78" s="2">
        <v>0.53531761047497906</v>
      </c>
      <c r="G78" s="2">
        <v>4.99550824910441</v>
      </c>
      <c r="H78" s="21">
        <v>0.99711888273065996</v>
      </c>
      <c r="I78" s="21">
        <v>0.96152626615815195</v>
      </c>
      <c r="J78" s="21">
        <v>0.99727645412338894</v>
      </c>
      <c r="K78" s="21">
        <v>0.96152626615815195</v>
      </c>
    </row>
    <row r="79" spans="1:15" x14ac:dyDescent="0.3">
      <c r="B79" t="str">
        <f>"X"&amp;C79</f>
        <v>X11</v>
      </c>
      <c r="C79">
        <f>C78+1</f>
        <v>11</v>
      </c>
      <c r="D79" s="2">
        <v>-19.131</v>
      </c>
      <c r="E79" s="2">
        <v>6.3879999999999999</v>
      </c>
      <c r="F79" s="2">
        <v>7.45577169491526E-2</v>
      </c>
      <c r="G79" s="2">
        <v>0.39052845318659801</v>
      </c>
      <c r="H79" s="21">
        <v>0.97267619268831496</v>
      </c>
      <c r="I79" s="21">
        <v>0.83580465657108505</v>
      </c>
      <c r="J79" s="21">
        <v>0.97489834000108899</v>
      </c>
      <c r="K79" s="21">
        <v>0.83580465657108505</v>
      </c>
    </row>
    <row r="80" spans="1:15" x14ac:dyDescent="0.3">
      <c r="B80" t="str">
        <f>"X"&amp;C80</f>
        <v>X12</v>
      </c>
      <c r="C80">
        <f>C79+1</f>
        <v>12</v>
      </c>
      <c r="D80" s="2">
        <v>-231.85</v>
      </c>
      <c r="E80" s="2">
        <v>2470.3000000000002</v>
      </c>
      <c r="F80" s="2">
        <v>1.21140842429391</v>
      </c>
      <c r="G80" s="2">
        <v>39.390132077785402</v>
      </c>
      <c r="H80" s="21">
        <v>0.99190456342821198</v>
      </c>
      <c r="I80" s="21">
        <v>0.97200513355781304</v>
      </c>
      <c r="J80" s="21">
        <v>0.99135647681728001</v>
      </c>
      <c r="K80" s="21">
        <v>0.97200513355781304</v>
      </c>
    </row>
    <row r="81" spans="2:11" x14ac:dyDescent="0.3">
      <c r="B81" t="str">
        <f>"X"&amp;C81</f>
        <v>X13</v>
      </c>
      <c r="C81">
        <f>C80+1</f>
        <v>13</v>
      </c>
      <c r="D81" s="2">
        <v>-212.48</v>
      </c>
      <c r="E81" s="2">
        <v>25.469000000000001</v>
      </c>
      <c r="F81" s="2">
        <v>-2.0019936891147901E-2</v>
      </c>
      <c r="G81" s="2">
        <v>3.8613355624581498</v>
      </c>
      <c r="H81" s="21">
        <v>0.99285219475819098</v>
      </c>
      <c r="I81" s="21">
        <v>0.97983213545774295</v>
      </c>
      <c r="J81" s="21">
        <v>0.994892574705733</v>
      </c>
      <c r="K81" s="21">
        <v>0.97983213545774295</v>
      </c>
    </row>
    <row r="82" spans="2:11" x14ac:dyDescent="0.3">
      <c r="B82" t="str">
        <f>"X"&amp;C82</f>
        <v>X14</v>
      </c>
      <c r="C82">
        <f>C81+1</f>
        <v>14</v>
      </c>
      <c r="D82" s="2">
        <v>-517.48</v>
      </c>
      <c r="E82" s="2">
        <v>5.53</v>
      </c>
      <c r="F82" s="2">
        <v>-4.84216197033897E-2</v>
      </c>
      <c r="G82" s="2">
        <v>7.5375297975605102</v>
      </c>
      <c r="H82" s="21">
        <v>0.99939552425065503</v>
      </c>
      <c r="I82" s="21">
        <v>0.98796920870312399</v>
      </c>
      <c r="J82" s="21">
        <v>0.99870272650171299</v>
      </c>
      <c r="K82" s="21">
        <v>0.98796920870312399</v>
      </c>
    </row>
    <row r="83" spans="2:11" x14ac:dyDescent="0.3">
      <c r="B83" t="str">
        <f>"X"&amp;C83</f>
        <v>X15</v>
      </c>
      <c r="C83">
        <f>C82+1</f>
        <v>15</v>
      </c>
      <c r="D83" s="2">
        <v>-466770</v>
      </c>
      <c r="E83" s="2">
        <v>1341700</v>
      </c>
      <c r="F83" s="2">
        <v>2648.8740546137501</v>
      </c>
      <c r="G83" s="2">
        <v>34267.337109971901</v>
      </c>
      <c r="H83" s="21">
        <v>0.98662059614960396</v>
      </c>
      <c r="I83" s="21">
        <v>0.92741655398157996</v>
      </c>
      <c r="J83" s="21">
        <v>0.98234440501567799</v>
      </c>
      <c r="K83" s="21">
        <v>0.92741655398157996</v>
      </c>
    </row>
    <row r="84" spans="2:11" x14ac:dyDescent="0.3">
      <c r="B84" t="str">
        <f>"X"&amp;C84</f>
        <v>X16</v>
      </c>
      <c r="C84">
        <f>C83+1</f>
        <v>16</v>
      </c>
      <c r="D84" s="2">
        <v>-221.33</v>
      </c>
      <c r="E84" s="2">
        <v>2837.4</v>
      </c>
      <c r="F84" s="2">
        <v>1.29013185802207</v>
      </c>
      <c r="G84" s="2">
        <v>41.576022799680999</v>
      </c>
      <c r="H84" s="21">
        <v>0.99471907921161695</v>
      </c>
      <c r="I84" s="21">
        <v>0.91631004115366599</v>
      </c>
      <c r="J84" s="21">
        <v>0.99160449922333405</v>
      </c>
      <c r="K84" s="21">
        <v>0.91631004115366599</v>
      </c>
    </row>
    <row r="85" spans="2:11" x14ac:dyDescent="0.3">
      <c r="B85" t="str">
        <f>"X"&amp;C85</f>
        <v>X17</v>
      </c>
      <c r="C85">
        <f>C84+1</f>
        <v>17</v>
      </c>
      <c r="D85" s="2">
        <v>-2.3210000000000001E-3</v>
      </c>
      <c r="E85" s="2">
        <v>6869.5</v>
      </c>
      <c r="F85" s="2">
        <v>7.4062173632696497</v>
      </c>
      <c r="G85" s="2">
        <v>114.16924103850801</v>
      </c>
      <c r="H85" s="21">
        <v>0.99594907717235004</v>
      </c>
      <c r="I85" s="21">
        <v>0.92090446655714697</v>
      </c>
      <c r="J85" s="21">
        <v>0.99265845104774597</v>
      </c>
      <c r="K85" s="21">
        <v>0.92090446655714697</v>
      </c>
    </row>
    <row r="86" spans="2:11" x14ac:dyDescent="0.3">
      <c r="B86" t="str">
        <f>"X"&amp;C86</f>
        <v>X18</v>
      </c>
      <c r="C86">
        <f>C85+1</f>
        <v>18</v>
      </c>
      <c r="D86" s="2">
        <v>-517.48</v>
      </c>
      <c r="E86" s="2">
        <v>5.53</v>
      </c>
      <c r="F86" s="2">
        <v>-4.84216197033897E-2</v>
      </c>
      <c r="G86" s="2">
        <v>7.5375297975605102</v>
      </c>
      <c r="H86" s="21">
        <v>0.99939552425065503</v>
      </c>
      <c r="I86" s="21">
        <v>0.98796920870312399</v>
      </c>
      <c r="J86" s="21">
        <v>0.99870272650171299</v>
      </c>
      <c r="K86" s="21">
        <v>0.98796920870312399</v>
      </c>
    </row>
    <row r="87" spans="2:11" x14ac:dyDescent="0.3">
      <c r="B87" t="str">
        <f>"X"&amp;C87</f>
        <v>X19</v>
      </c>
      <c r="C87">
        <f>C86+1</f>
        <v>19</v>
      </c>
      <c r="D87" s="2">
        <v>-213.76</v>
      </c>
      <c r="E87" s="2">
        <v>25.341999999999999</v>
      </c>
      <c r="F87" s="2">
        <v>-6.9741517263291794E-2</v>
      </c>
      <c r="G87" s="2">
        <v>3.9173198433646901</v>
      </c>
      <c r="H87" s="21">
        <v>0.993630881131357</v>
      </c>
      <c r="I87" s="21">
        <v>0.98187246473166301</v>
      </c>
      <c r="J87" s="21">
        <v>0.994509794655968</v>
      </c>
      <c r="K87" s="21">
        <v>0.98187246473166301</v>
      </c>
    </row>
    <row r="88" spans="2:11" x14ac:dyDescent="0.3">
      <c r="B88" t="str">
        <f>"X"&amp;C88</f>
        <v>X20</v>
      </c>
      <c r="C88">
        <f>C87+1</f>
        <v>20</v>
      </c>
      <c r="D88" s="2">
        <v>-29.34</v>
      </c>
      <c r="E88" s="2">
        <v>9928.5</v>
      </c>
      <c r="F88" s="2">
        <v>60.961157969891701</v>
      </c>
      <c r="G88" s="2">
        <v>189.50445237941099</v>
      </c>
      <c r="H88" s="21">
        <v>0.99578034159798101</v>
      </c>
      <c r="I88" s="21">
        <v>0.88344344176496703</v>
      </c>
      <c r="J88" s="21">
        <v>0.99526805852532396</v>
      </c>
      <c r="K88" s="21">
        <v>0.88344344176496703</v>
      </c>
    </row>
    <row r="89" spans="2:11" x14ac:dyDescent="0.3">
      <c r="B89" t="str">
        <f>"X"&amp;C89</f>
        <v>X21</v>
      </c>
      <c r="C89">
        <f>C88+1</f>
        <v>21</v>
      </c>
      <c r="D89" s="2">
        <v>-135.15</v>
      </c>
      <c r="E89" s="2">
        <v>7661.5</v>
      </c>
      <c r="F89" s="2">
        <v>2.78070803188968</v>
      </c>
      <c r="G89" s="2">
        <v>112.464661463597</v>
      </c>
      <c r="H89" s="21">
        <v>0.91839669354083897</v>
      </c>
      <c r="I89" s="21">
        <v>0.99716847058425195</v>
      </c>
      <c r="J89" s="21">
        <v>0.996825999792048</v>
      </c>
      <c r="K89" s="21">
        <v>0.99716847058425195</v>
      </c>
    </row>
    <row r="90" spans="2:11" x14ac:dyDescent="0.3">
      <c r="B90" t="str">
        <f>"X"&amp;C90</f>
        <v>X22</v>
      </c>
      <c r="C90">
        <f>C89+1</f>
        <v>22</v>
      </c>
      <c r="D90" s="2">
        <v>-19.279</v>
      </c>
      <c r="E90" s="2">
        <v>15.541</v>
      </c>
      <c r="F90" s="2">
        <v>7.80080406409661E-2</v>
      </c>
      <c r="G90" s="2">
        <v>0.46708604322229302</v>
      </c>
      <c r="H90" s="21">
        <v>0.97855724993618498</v>
      </c>
      <c r="I90" s="21">
        <v>0.86732070645282999</v>
      </c>
      <c r="J90" s="21">
        <v>0.97998505578680295</v>
      </c>
      <c r="K90" s="21">
        <v>0.86732070645282999</v>
      </c>
    </row>
    <row r="91" spans="2:11" x14ac:dyDescent="0.3">
      <c r="B91" t="str">
        <f>"X"&amp;C91</f>
        <v>X23</v>
      </c>
      <c r="C91">
        <f>C90+1</f>
        <v>23</v>
      </c>
      <c r="D91" s="2">
        <v>-209.9</v>
      </c>
      <c r="E91" s="2">
        <v>25.228000000000002</v>
      </c>
      <c r="F91" s="2">
        <v>-7.6503044330775802E-2</v>
      </c>
      <c r="G91" s="2">
        <v>3.8818678940993001</v>
      </c>
      <c r="H91" s="21">
        <v>0.993567391837055</v>
      </c>
      <c r="I91" s="21">
        <v>0.98299733527853494</v>
      </c>
      <c r="J91" s="21">
        <v>0.99388418210852003</v>
      </c>
      <c r="K91" s="21">
        <v>0.98299733527853494</v>
      </c>
    </row>
    <row r="92" spans="2:11" x14ac:dyDescent="0.3">
      <c r="B92" t="str">
        <f>"X"&amp;C92</f>
        <v>X24</v>
      </c>
      <c r="C92">
        <f>C91+1</f>
        <v>24</v>
      </c>
      <c r="D92" s="2">
        <v>-37.835999999999999</v>
      </c>
      <c r="E92" s="2">
        <v>252.34</v>
      </c>
      <c r="F92" s="2">
        <v>0.26542918949424799</v>
      </c>
      <c r="G92" s="2">
        <v>4.1941407156092199</v>
      </c>
      <c r="H92" s="21">
        <v>0.971645552662318</v>
      </c>
      <c r="I92" s="21">
        <v>0.94673930054797895</v>
      </c>
      <c r="J92" s="21">
        <v>0.97013281383145999</v>
      </c>
      <c r="K92" s="21">
        <v>0.94673930054797895</v>
      </c>
    </row>
    <row r="93" spans="2:11" x14ac:dyDescent="0.3">
      <c r="B93" t="str">
        <f>"X"&amp;C93</f>
        <v>X25</v>
      </c>
      <c r="C93">
        <f>C92+1</f>
        <v>25</v>
      </c>
      <c r="D93" s="2">
        <v>-44.134999999999998</v>
      </c>
      <c r="E93" s="2">
        <v>127.92</v>
      </c>
      <c r="F93" s="2">
        <v>0.360240944067797</v>
      </c>
      <c r="G93" s="2">
        <v>2.0999131539918001</v>
      </c>
      <c r="H93" s="21">
        <v>0.95699652724720397</v>
      </c>
      <c r="I93" s="21">
        <v>0.90232788367399797</v>
      </c>
      <c r="J93" s="21">
        <v>0.95755338964137404</v>
      </c>
      <c r="K93" s="21">
        <v>0.90232788367399797</v>
      </c>
    </row>
    <row r="94" spans="2:11" x14ac:dyDescent="0.3">
      <c r="B94" t="str">
        <f>"X"&amp;C94</f>
        <v>X26</v>
      </c>
      <c r="C94">
        <f>C93+1</f>
        <v>26</v>
      </c>
      <c r="D94" s="2">
        <v>-221.33</v>
      </c>
      <c r="E94" s="2">
        <v>2689.1</v>
      </c>
      <c r="F94" s="2">
        <v>1.18707545890847</v>
      </c>
      <c r="G94" s="2">
        <v>39.428861309004098</v>
      </c>
      <c r="H94" s="21">
        <v>0.99289628135177999</v>
      </c>
      <c r="I94" s="21">
        <v>0.920612988600781</v>
      </c>
      <c r="J94" s="21">
        <v>0.98793603494646998</v>
      </c>
      <c r="K94" s="21">
        <v>0.920612988600781</v>
      </c>
    </row>
    <row r="95" spans="2:11" x14ac:dyDescent="0.3">
      <c r="B95" t="str">
        <f>"X"&amp;C95</f>
        <v>X27</v>
      </c>
      <c r="C95">
        <f>C94+1</f>
        <v>27</v>
      </c>
      <c r="D95" s="2">
        <v>-158130</v>
      </c>
      <c r="E95" s="2">
        <v>565940</v>
      </c>
      <c r="F95" s="2">
        <v>530.13720760549302</v>
      </c>
      <c r="G95" s="2">
        <v>11434.906894908399</v>
      </c>
      <c r="H95" s="21">
        <v>0.96270995015614003</v>
      </c>
      <c r="I95" s="21">
        <v>0.98560305917386604</v>
      </c>
      <c r="J95" s="21">
        <v>0.94946663147146604</v>
      </c>
      <c r="K95" s="21">
        <v>0.98560305917386604</v>
      </c>
    </row>
    <row r="96" spans="2:11" x14ac:dyDescent="0.3">
      <c r="B96" t="str">
        <f>"X"&amp;C96</f>
        <v>X28</v>
      </c>
      <c r="C96">
        <f>C95+1</f>
        <v>28</v>
      </c>
      <c r="D96" s="2">
        <v>-1089.7</v>
      </c>
      <c r="E96" s="2">
        <v>21701</v>
      </c>
      <c r="F96" s="2">
        <v>10.588694551798399</v>
      </c>
      <c r="G96" s="2">
        <v>335.21405879135199</v>
      </c>
      <c r="H96" s="21">
        <v>0.99718013891776103</v>
      </c>
      <c r="I96" s="21">
        <v>0.99190316409203305</v>
      </c>
      <c r="J96" s="21">
        <v>0.996500354206456</v>
      </c>
      <c r="K96" s="21">
        <v>0.99190316409203305</v>
      </c>
    </row>
    <row r="97" spans="2:11" x14ac:dyDescent="0.3">
      <c r="B97" t="str">
        <f>"X"&amp;C97</f>
        <v>X29</v>
      </c>
      <c r="C97">
        <f>C96+1</f>
        <v>29</v>
      </c>
      <c r="D97" s="2">
        <v>0.34733000000000003</v>
      </c>
      <c r="E97" s="2">
        <v>9.6982999999999997</v>
      </c>
      <c r="F97" s="2">
        <v>4.1614317544973503</v>
      </c>
      <c r="G97" s="2">
        <v>0.83620793965306395</v>
      </c>
      <c r="H97" s="21">
        <v>0.90088639375772095</v>
      </c>
      <c r="I97" s="21">
        <v>0.63294948640376403</v>
      </c>
      <c r="J97" s="21">
        <v>0.89631905017567504</v>
      </c>
      <c r="K97" s="21">
        <v>0.63294948640376403</v>
      </c>
    </row>
    <row r="98" spans="2:11" x14ac:dyDescent="0.3">
      <c r="B98" t="str">
        <f>"X"&amp;C98</f>
        <v>X30</v>
      </c>
      <c r="C98">
        <f>C97+1</f>
        <v>30</v>
      </c>
      <c r="D98" s="2">
        <v>-23.06</v>
      </c>
      <c r="E98" s="2">
        <v>1236.7</v>
      </c>
      <c r="F98" s="2">
        <v>0.91065379771477395</v>
      </c>
      <c r="G98" s="2">
        <v>21.189797057750699</v>
      </c>
      <c r="H98" s="21">
        <v>0.99330711210546396</v>
      </c>
      <c r="I98" s="21">
        <v>0.98613582772187403</v>
      </c>
      <c r="J98" s="21">
        <v>0.99193983557851295</v>
      </c>
      <c r="K98" s="21">
        <v>0.98613582772187403</v>
      </c>
    </row>
    <row r="99" spans="2:11" x14ac:dyDescent="0.3">
      <c r="B99" t="str">
        <f>"X"&amp;C99</f>
        <v>X31</v>
      </c>
      <c r="C99">
        <f>C98+1</f>
        <v>31</v>
      </c>
      <c r="D99" s="2">
        <v>-213.76</v>
      </c>
      <c r="E99" s="2">
        <v>25.341999999999999</v>
      </c>
      <c r="F99" s="2">
        <v>-4.2417570218174001E-2</v>
      </c>
      <c r="G99" s="2">
        <v>3.58339308447382</v>
      </c>
      <c r="H99" s="21">
        <v>0.99331603907739896</v>
      </c>
      <c r="I99" s="21">
        <v>0.97954479947766804</v>
      </c>
      <c r="J99" s="21">
        <v>0.99348952916393996</v>
      </c>
      <c r="K99" s="21">
        <v>0.97954479947766804</v>
      </c>
    </row>
    <row r="100" spans="2:11" x14ac:dyDescent="0.3">
      <c r="B100" t="str">
        <f>"X"&amp;C100</f>
        <v>X32</v>
      </c>
      <c r="C100">
        <f>C99+1</f>
        <v>32</v>
      </c>
      <c r="D100" s="2">
        <v>-255.1</v>
      </c>
      <c r="E100" s="2">
        <v>4277200</v>
      </c>
      <c r="F100" s="2">
        <v>1643.1533556529</v>
      </c>
      <c r="G100" s="2">
        <v>71408.507153178405</v>
      </c>
      <c r="H100" s="21">
        <v>0.99596693958383997</v>
      </c>
      <c r="I100" s="21">
        <v>0.99614401356787596</v>
      </c>
      <c r="J100" s="21">
        <v>0.99646689281106404</v>
      </c>
      <c r="K100" s="21">
        <v>0.99614401356787596</v>
      </c>
    </row>
    <row r="101" spans="2:11" x14ac:dyDescent="0.3">
      <c r="B101" t="str">
        <f>"X"&amp;C101</f>
        <v>X33</v>
      </c>
      <c r="C101">
        <f>C100+1</f>
        <v>33</v>
      </c>
      <c r="D101" s="2">
        <v>-1.4334</v>
      </c>
      <c r="E101" s="2">
        <v>7590.5</v>
      </c>
      <c r="F101" s="2">
        <v>8.8890620597652195</v>
      </c>
      <c r="G101" s="2">
        <v>114.70621969074</v>
      </c>
      <c r="H101" s="21">
        <v>0.99469203218517499</v>
      </c>
      <c r="I101" s="21">
        <v>0.91319938660938904</v>
      </c>
      <c r="J101" s="21">
        <v>0.99363187446052204</v>
      </c>
      <c r="K101" s="21">
        <v>0.91319938660938904</v>
      </c>
    </row>
    <row r="102" spans="2:11" x14ac:dyDescent="0.3">
      <c r="B102" t="str">
        <f>"X"&amp;C102</f>
        <v>X34</v>
      </c>
      <c r="C102">
        <f>C101+1</f>
        <v>34</v>
      </c>
      <c r="D102" s="2">
        <v>-6.0890000000000004</v>
      </c>
      <c r="E102" s="2">
        <v>7590.5</v>
      </c>
      <c r="F102" s="2">
        <v>5.4768575285958097</v>
      </c>
      <c r="G102" s="2">
        <v>112.34746487050801</v>
      </c>
      <c r="H102" s="21">
        <v>0.99111760659922699</v>
      </c>
      <c r="I102" s="21">
        <v>0.85380644473058398</v>
      </c>
      <c r="J102" s="21">
        <v>0.96370372679112604</v>
      </c>
      <c r="K102" s="21">
        <v>0.85380644473058398</v>
      </c>
    </row>
    <row r="103" spans="2:11" x14ac:dyDescent="0.3">
      <c r="B103" t="str">
        <f>"X"&amp;C103</f>
        <v>X35</v>
      </c>
      <c r="C103">
        <f>C102+1</f>
        <v>35</v>
      </c>
      <c r="D103" s="2">
        <v>-14.148</v>
      </c>
      <c r="E103" s="2">
        <v>15.541</v>
      </c>
      <c r="F103" s="2">
        <v>6.8338537529236798E-2</v>
      </c>
      <c r="G103" s="2">
        <v>0.38570492445830101</v>
      </c>
      <c r="H103" s="21">
        <v>0.97405027870084504</v>
      </c>
      <c r="I103" s="21">
        <v>0.83791512085764297</v>
      </c>
      <c r="J103" s="21">
        <v>0.96871094331843299</v>
      </c>
      <c r="K103" s="21">
        <v>0.83791512085764297</v>
      </c>
    </row>
    <row r="104" spans="2:11" x14ac:dyDescent="0.3">
      <c r="B104" t="str">
        <f>"X"&amp;C104</f>
        <v>X36</v>
      </c>
      <c r="C104">
        <f>C103+1</f>
        <v>36</v>
      </c>
      <c r="D104" s="2">
        <v>1.9100000000000001E-4</v>
      </c>
      <c r="E104" s="2">
        <v>114.74</v>
      </c>
      <c r="F104" s="2">
        <v>1.8869972131217001</v>
      </c>
      <c r="G104" s="2">
        <v>2.64453478923439</v>
      </c>
      <c r="H104" s="21">
        <v>0.96990242081655798</v>
      </c>
      <c r="I104" s="21">
        <v>0.81074471483405697</v>
      </c>
      <c r="J104" s="21">
        <v>0.96777125384959495</v>
      </c>
      <c r="K104" s="21">
        <v>0.81074471483405697</v>
      </c>
    </row>
    <row r="105" spans="2:11" x14ac:dyDescent="0.3">
      <c r="B105" t="str">
        <f>"X"&amp;C105</f>
        <v>X37</v>
      </c>
      <c r="C105">
        <f>C104+1</f>
        <v>37</v>
      </c>
      <c r="D105" s="2">
        <v>-4.3258000000000001</v>
      </c>
      <c r="E105" s="2">
        <v>67922</v>
      </c>
      <c r="F105" s="2">
        <v>124.675438641196</v>
      </c>
      <c r="G105" s="2">
        <v>1769.20210645936</v>
      </c>
      <c r="H105" s="21">
        <v>0.97717569544001903</v>
      </c>
      <c r="I105" s="21">
        <v>0.73112290146423897</v>
      </c>
      <c r="J105" s="21">
        <v>0.79409660184902597</v>
      </c>
      <c r="K105" s="21">
        <v>0.73112290146423897</v>
      </c>
    </row>
    <row r="106" spans="2:11" x14ac:dyDescent="0.3">
      <c r="B106" t="str">
        <f>"X"&amp;C106</f>
        <v>X38</v>
      </c>
      <c r="C106">
        <f>C105+1</f>
        <v>38</v>
      </c>
      <c r="D106" s="2">
        <v>-24.64</v>
      </c>
      <c r="E106" s="2">
        <v>467.77</v>
      </c>
      <c r="F106" s="2">
        <v>0.64814530491942302</v>
      </c>
      <c r="G106" s="2">
        <v>6.8384389005571196</v>
      </c>
      <c r="H106" s="21">
        <v>0.996925772689223</v>
      </c>
      <c r="I106" s="21">
        <v>0.97566941462739099</v>
      </c>
      <c r="J106" s="21">
        <v>0.99729810068687297</v>
      </c>
      <c r="K106" s="21">
        <v>0.97566941462739099</v>
      </c>
    </row>
    <row r="107" spans="2:11" x14ac:dyDescent="0.3">
      <c r="B107" t="str">
        <f>"X"&amp;C107</f>
        <v>X39</v>
      </c>
      <c r="C107">
        <f>C106+1</f>
        <v>39</v>
      </c>
      <c r="D107" s="2">
        <v>-47.046999999999997</v>
      </c>
      <c r="E107" s="2">
        <v>2.9011</v>
      </c>
      <c r="F107" s="2">
        <v>1.39376836062089E-2</v>
      </c>
      <c r="G107" s="2">
        <v>0.78969480044297902</v>
      </c>
      <c r="H107" s="21">
        <v>0.98573191788232195</v>
      </c>
      <c r="I107" s="21">
        <v>0.92742279646468395</v>
      </c>
      <c r="J107" s="21">
        <v>0.98407236351118699</v>
      </c>
      <c r="K107" s="21">
        <v>0.92742279646468395</v>
      </c>
    </row>
    <row r="108" spans="2:11" x14ac:dyDescent="0.3">
      <c r="B108" t="str">
        <f>"X"&amp;C108</f>
        <v>X40</v>
      </c>
      <c r="C108">
        <f>C107+1</f>
        <v>40</v>
      </c>
      <c r="D108" s="2">
        <v>-9.0686</v>
      </c>
      <c r="E108" s="2">
        <v>4303.2</v>
      </c>
      <c r="F108" s="2">
        <v>2.3414342134664401</v>
      </c>
      <c r="G108" s="2">
        <v>64.168105104721903</v>
      </c>
      <c r="H108" s="21">
        <v>0.99486316857359602</v>
      </c>
      <c r="I108" s="21">
        <v>0.956223722734592</v>
      </c>
      <c r="J108" s="21">
        <v>0.98366524486273799</v>
      </c>
      <c r="K108" s="21">
        <v>0.956223722734592</v>
      </c>
    </row>
    <row r="109" spans="2:11" x14ac:dyDescent="0.3">
      <c r="B109" t="str">
        <f>"X"&amp;C109</f>
        <v>X41</v>
      </c>
      <c r="C109">
        <f>C108+1</f>
        <v>41</v>
      </c>
      <c r="D109" s="2">
        <v>-269.99</v>
      </c>
      <c r="E109" s="2">
        <v>5043.3</v>
      </c>
      <c r="F109" s="2">
        <v>1.76348501119002</v>
      </c>
      <c r="G109" s="2">
        <v>75.6276350686054</v>
      </c>
      <c r="H109" s="21">
        <v>0.99265083400542198</v>
      </c>
      <c r="I109" s="21">
        <v>0.993033729743521</v>
      </c>
      <c r="J109" s="21">
        <v>0.99135870333096698</v>
      </c>
      <c r="K109" s="21">
        <v>0.993033729743521</v>
      </c>
    </row>
    <row r="110" spans="2:11" x14ac:dyDescent="0.3">
      <c r="B110" t="str">
        <f>"X"&amp;C110</f>
        <v>X42</v>
      </c>
      <c r="C110">
        <f>C109+1</f>
        <v>42</v>
      </c>
      <c r="D110" s="2">
        <v>-143.52000000000001</v>
      </c>
      <c r="E110" s="2">
        <v>18.088000000000001</v>
      </c>
      <c r="F110" s="2">
        <v>-3.4806568709377997E-2</v>
      </c>
      <c r="G110" s="2">
        <v>2.7633978118373101</v>
      </c>
      <c r="H110" s="21">
        <v>0.98998751133524399</v>
      </c>
      <c r="I110" s="21">
        <v>0.97545107923202101</v>
      </c>
      <c r="J110" s="21">
        <v>0.99130988725337599</v>
      </c>
      <c r="K110" s="21">
        <v>0.97545107923202101</v>
      </c>
    </row>
    <row r="111" spans="2:11" x14ac:dyDescent="0.3">
      <c r="B111" t="str">
        <f>"X"&amp;C111</f>
        <v>X43</v>
      </c>
      <c r="C111">
        <f>C110+1</f>
        <v>43</v>
      </c>
      <c r="D111" s="2">
        <v>-3975.6</v>
      </c>
      <c r="E111" s="2">
        <v>40515</v>
      </c>
      <c r="F111" s="2">
        <v>162.40829404111099</v>
      </c>
      <c r="G111" s="2">
        <v>870.33404498811399</v>
      </c>
      <c r="H111" s="21">
        <v>0.99265718546023296</v>
      </c>
      <c r="I111" s="21">
        <v>0.95396542939670204</v>
      </c>
      <c r="J111" s="21">
        <v>0.99321101058244499</v>
      </c>
      <c r="K111" s="21">
        <v>0.95396542939670204</v>
      </c>
    </row>
    <row r="112" spans="2:11" x14ac:dyDescent="0.3">
      <c r="B112" t="str">
        <f>"X"&amp;C112</f>
        <v>X44</v>
      </c>
      <c r="C112">
        <f>C111+1</f>
        <v>44</v>
      </c>
      <c r="D112" s="2">
        <v>-3946.2</v>
      </c>
      <c r="E112" s="2">
        <v>40515</v>
      </c>
      <c r="F112" s="2">
        <v>104.12286509542</v>
      </c>
      <c r="G112" s="2">
        <v>801.04190158800998</v>
      </c>
      <c r="H112" s="21">
        <v>0.99474767918777396</v>
      </c>
      <c r="I112" s="21">
        <v>0.965381869588959</v>
      </c>
      <c r="J112" s="21">
        <v>0.996103148821188</v>
      </c>
      <c r="K112" s="21">
        <v>0.965381869588959</v>
      </c>
    </row>
    <row r="113" spans="2:11" x14ac:dyDescent="0.3">
      <c r="B113" t="str">
        <f>"X"&amp;C113</f>
        <v>X45</v>
      </c>
      <c r="C113">
        <f>C112+1</f>
        <v>45</v>
      </c>
      <c r="D113" s="2">
        <v>-3037.3</v>
      </c>
      <c r="E113" s="2">
        <v>1526.5</v>
      </c>
      <c r="F113" s="2">
        <v>1.6566517457627099</v>
      </c>
      <c r="G113" s="2">
        <v>66.102347965944702</v>
      </c>
      <c r="H113" s="21">
        <v>0.98965592597005503</v>
      </c>
      <c r="I113" s="21">
        <v>0.96021039301266697</v>
      </c>
      <c r="J113" s="21">
        <v>0.97666700357726699</v>
      </c>
      <c r="K113" s="21">
        <v>0.96021039301266697</v>
      </c>
    </row>
    <row r="114" spans="2:11" x14ac:dyDescent="0.3">
      <c r="B114" t="str">
        <f>"X"&amp;C114</f>
        <v>X46</v>
      </c>
      <c r="C114">
        <f>C113+1</f>
        <v>46</v>
      </c>
      <c r="D114" s="2">
        <v>-9.0489999999999995</v>
      </c>
      <c r="E114" s="2">
        <v>6845.8</v>
      </c>
      <c r="F114" s="2">
        <v>4.2837036161358801</v>
      </c>
      <c r="G114" s="2">
        <v>101.769130070019</v>
      </c>
      <c r="H114" s="21">
        <v>0.99670176611039696</v>
      </c>
      <c r="I114" s="21">
        <v>0.94121582483042399</v>
      </c>
      <c r="J114" s="21">
        <v>0.98779103106500599</v>
      </c>
      <c r="K114" s="21">
        <v>0.94121582483042399</v>
      </c>
    </row>
    <row r="115" spans="2:11" x14ac:dyDescent="0.3">
      <c r="B115" t="str">
        <f>"X"&amp;C115</f>
        <v>X47</v>
      </c>
      <c r="C115">
        <f>C114+1</f>
        <v>47</v>
      </c>
      <c r="D115" s="2">
        <v>-18.658000000000001</v>
      </c>
      <c r="E115" s="2">
        <v>185610</v>
      </c>
      <c r="F115" s="2">
        <v>127.028828818687</v>
      </c>
      <c r="G115" s="2">
        <v>2858.4795541257799</v>
      </c>
      <c r="H115" s="21">
        <v>0.99688489211196396</v>
      </c>
      <c r="I115" s="21">
        <v>0.98620446384120097</v>
      </c>
      <c r="J115" s="21">
        <v>0.995839125903344</v>
      </c>
      <c r="K115" s="21">
        <v>0.98620446384120097</v>
      </c>
    </row>
    <row r="116" spans="2:11" x14ac:dyDescent="0.3">
      <c r="B116" t="str">
        <f>"X"&amp;C116</f>
        <v>X48</v>
      </c>
      <c r="C116">
        <f>C115+1</f>
        <v>48</v>
      </c>
      <c r="D116" s="2">
        <v>-20.721</v>
      </c>
      <c r="E116" s="2">
        <v>15.541</v>
      </c>
      <c r="F116" s="2">
        <v>4.9899943977590898E-3</v>
      </c>
      <c r="G116" s="2">
        <v>0.54932045593819101</v>
      </c>
      <c r="H116" s="21">
        <v>0.97888095552139198</v>
      </c>
      <c r="I116" s="21">
        <v>0.85989243535143101</v>
      </c>
      <c r="J116" s="21">
        <v>0.97333496791932705</v>
      </c>
      <c r="K116" s="21">
        <v>0.85989243535143101</v>
      </c>
    </row>
    <row r="117" spans="2:11" x14ac:dyDescent="0.3">
      <c r="B117" t="str">
        <f>"X"&amp;C117</f>
        <v>X49</v>
      </c>
      <c r="C117">
        <f>C116+1</f>
        <v>49</v>
      </c>
      <c r="D117" s="2">
        <v>-144.80000000000001</v>
      </c>
      <c r="E117" s="2">
        <v>16.866</v>
      </c>
      <c r="F117" s="2">
        <v>-8.30262441860464E-2</v>
      </c>
      <c r="G117" s="2">
        <v>2.7465274847939298</v>
      </c>
      <c r="H117" s="21">
        <v>0.99274541341392397</v>
      </c>
      <c r="I117" s="21">
        <v>0.97252443627876595</v>
      </c>
      <c r="J117" s="21">
        <v>0.99295416626917299</v>
      </c>
      <c r="K117" s="21">
        <v>0.97252443627876595</v>
      </c>
    </row>
    <row r="118" spans="2:11" x14ac:dyDescent="0.3">
      <c r="B118" t="str">
        <f>"X"&amp;C118</f>
        <v>X50</v>
      </c>
      <c r="C118">
        <f>C117+1</f>
        <v>50</v>
      </c>
      <c r="D118" s="2">
        <v>-1.2175E-2</v>
      </c>
      <c r="E118" s="2">
        <v>6845.8</v>
      </c>
      <c r="F118" s="2">
        <v>4.4804382615155998</v>
      </c>
      <c r="G118" s="2">
        <v>101.44687220763799</v>
      </c>
      <c r="H118" s="21">
        <v>0.99529674921712197</v>
      </c>
      <c r="I118" s="21">
        <v>0.92579511000044701</v>
      </c>
      <c r="J118" s="21">
        <v>0.98924668047104602</v>
      </c>
      <c r="K118" s="21">
        <v>0.92579511000044701</v>
      </c>
    </row>
    <row r="119" spans="2:11" x14ac:dyDescent="0.3">
      <c r="B119" t="str">
        <f>"X"&amp;C119</f>
        <v>X51</v>
      </c>
      <c r="C119">
        <f>C118+1</f>
        <v>51</v>
      </c>
      <c r="D119" s="2">
        <v>-0.18661</v>
      </c>
      <c r="E119" s="2">
        <v>25.64</v>
      </c>
      <c r="F119" s="2">
        <v>0.41501277909940498</v>
      </c>
      <c r="G119" s="2">
        <v>0.57973727607687597</v>
      </c>
      <c r="H119" s="21">
        <v>0.97054829881999904</v>
      </c>
      <c r="I119" s="21">
        <v>0.79429012818988298</v>
      </c>
      <c r="J119" s="21">
        <v>0.96949549675392199</v>
      </c>
      <c r="K119" s="21">
        <v>0.79429012818988298</v>
      </c>
    </row>
    <row r="120" spans="2:11" x14ac:dyDescent="0.3">
      <c r="B120" t="str">
        <f>"X"&amp;C120</f>
        <v>X52</v>
      </c>
      <c r="C120">
        <f>C119+1</f>
        <v>52</v>
      </c>
      <c r="D120" s="2">
        <v>-0.69764000000000004</v>
      </c>
      <c r="E120" s="2">
        <v>498.33</v>
      </c>
      <c r="F120" s="2">
        <v>0.67141339346712203</v>
      </c>
      <c r="G120" s="2">
        <v>10.587965582641299</v>
      </c>
      <c r="H120" s="21">
        <v>0.99568639488203303</v>
      </c>
      <c r="I120" s="21">
        <v>0.98267403234332695</v>
      </c>
      <c r="J120" s="21">
        <v>0.99650792778461095</v>
      </c>
      <c r="K120" s="21">
        <v>0.98267403234332695</v>
      </c>
    </row>
    <row r="121" spans="2:11" x14ac:dyDescent="0.3">
      <c r="B121" t="str">
        <f>"X"&amp;C121</f>
        <v>X53</v>
      </c>
      <c r="C121">
        <f>C120+1</f>
        <v>53</v>
      </c>
      <c r="D121" s="2">
        <v>-1088.7</v>
      </c>
      <c r="E121" s="2">
        <v>21702</v>
      </c>
      <c r="F121" s="2">
        <v>9.5374812780172196</v>
      </c>
      <c r="G121" s="2">
        <v>325.26523585015201</v>
      </c>
      <c r="H121" s="21">
        <v>0.99702820809621295</v>
      </c>
      <c r="I121" s="21">
        <v>0.99175052945888198</v>
      </c>
      <c r="J121" s="21">
        <v>0.99662390838728598</v>
      </c>
      <c r="K121" s="21">
        <v>0.99175052945888198</v>
      </c>
    </row>
    <row r="122" spans="2:11" x14ac:dyDescent="0.3">
      <c r="B122" t="str">
        <f>"X"&amp;C122</f>
        <v>X54</v>
      </c>
      <c r="C122">
        <f>C121+1</f>
        <v>54</v>
      </c>
      <c r="D122" s="2">
        <v>-1088.7</v>
      </c>
      <c r="E122" s="2">
        <v>21702</v>
      </c>
      <c r="F122" s="2">
        <v>11.1977036110752</v>
      </c>
      <c r="G122" s="2">
        <v>335.08864041370998</v>
      </c>
      <c r="H122" s="21">
        <v>0.99740041546222202</v>
      </c>
      <c r="I122" s="21">
        <v>0.992090878985466</v>
      </c>
      <c r="J122" s="21">
        <v>0.99714180195054702</v>
      </c>
      <c r="K122" s="21">
        <v>0.992090878985466</v>
      </c>
    </row>
    <row r="123" spans="2:11" x14ac:dyDescent="0.3">
      <c r="B123" t="str">
        <f>"X"&amp;C123</f>
        <v>X55</v>
      </c>
      <c r="C123">
        <f>C122+1</f>
        <v>55</v>
      </c>
      <c r="D123" s="2">
        <v>-1118500</v>
      </c>
      <c r="E123" s="2">
        <v>4212200</v>
      </c>
      <c r="F123" s="2">
        <v>11489.7832813521</v>
      </c>
      <c r="G123" s="2">
        <v>87246.4717189644</v>
      </c>
      <c r="H123" s="21">
        <v>0.97455911000644402</v>
      </c>
      <c r="I123" s="21">
        <v>0.92343333227963897</v>
      </c>
      <c r="J123" s="21">
        <v>0.97109165871435399</v>
      </c>
      <c r="K123" s="21">
        <v>0.92343333227963897</v>
      </c>
    </row>
    <row r="124" spans="2:11" x14ac:dyDescent="0.3">
      <c r="B124" t="str">
        <f>"X"&amp;C124</f>
        <v>X56</v>
      </c>
      <c r="C124">
        <f>C123+1</f>
        <v>56</v>
      </c>
      <c r="D124" s="2">
        <v>-46.787999999999997</v>
      </c>
      <c r="E124" s="2">
        <v>1.651</v>
      </c>
      <c r="F124" s="2">
        <v>4.4007439351950499E-2</v>
      </c>
      <c r="G124" s="2">
        <v>0.76941776868061296</v>
      </c>
      <c r="H124" s="21">
        <v>0.98243360372512001</v>
      </c>
      <c r="I124" s="21">
        <v>0.91372516673803394</v>
      </c>
      <c r="J124" s="21">
        <v>0.97733046939384505</v>
      </c>
      <c r="K124" s="21">
        <v>0.91372516673803394</v>
      </c>
    </row>
    <row r="125" spans="2:11" x14ac:dyDescent="0.3">
      <c r="B125" t="str">
        <f>"X"&amp;C125</f>
        <v>X57</v>
      </c>
      <c r="C125">
        <f>C124+1</f>
        <v>57</v>
      </c>
      <c r="D125" s="2">
        <v>-1236.3</v>
      </c>
      <c r="E125" s="2">
        <v>87.980999999999995</v>
      </c>
      <c r="F125" s="2">
        <v>-0.27693750355220598</v>
      </c>
      <c r="G125" s="2">
        <v>19.577308856670101</v>
      </c>
      <c r="H125" s="21">
        <v>0.99170003381256899</v>
      </c>
      <c r="I125" s="21">
        <v>0.98541660818671595</v>
      </c>
      <c r="J125" s="21">
        <v>0.99070194300996095</v>
      </c>
      <c r="K125" s="21">
        <v>0.98541660818671595</v>
      </c>
    </row>
    <row r="126" spans="2:11" x14ac:dyDescent="0.3">
      <c r="B126" t="str">
        <f>"X"&amp;C126</f>
        <v>X58</v>
      </c>
      <c r="C126">
        <f>C125+1</f>
        <v>58</v>
      </c>
      <c r="D126" s="2">
        <v>-0.16439000000000001</v>
      </c>
      <c r="E126" s="2">
        <v>47.787999999999997</v>
      </c>
      <c r="F126" s="2">
        <v>0.96320854012280499</v>
      </c>
      <c r="G126" s="2">
        <v>0.94338159790235698</v>
      </c>
      <c r="H126" s="21">
        <v>0.97868647232749495</v>
      </c>
      <c r="I126" s="21">
        <v>0.92111680487108005</v>
      </c>
      <c r="J126" s="21">
        <v>0.97730631810419599</v>
      </c>
      <c r="K126" s="21">
        <v>0.92111680487108005</v>
      </c>
    </row>
    <row r="127" spans="2:11" x14ac:dyDescent="0.3">
      <c r="B127" t="str">
        <f>"X"&amp;C127</f>
        <v>X59</v>
      </c>
      <c r="C127">
        <f>C126+1</f>
        <v>59</v>
      </c>
      <c r="D127" s="2">
        <v>-184.98</v>
      </c>
      <c r="E127" s="2">
        <v>308.14999999999998</v>
      </c>
      <c r="F127" s="2">
        <v>0.60732889036544802</v>
      </c>
      <c r="G127" s="2">
        <v>8.0466075448586007</v>
      </c>
      <c r="H127" s="21">
        <v>0.97635575052683599</v>
      </c>
      <c r="I127" s="21">
        <v>0.93918012730230604</v>
      </c>
      <c r="J127" s="21">
        <v>0.97127361250373001</v>
      </c>
      <c r="K127" s="21">
        <v>0.93918012730230604</v>
      </c>
    </row>
    <row r="128" spans="2:11" x14ac:dyDescent="0.3">
      <c r="B128" t="str">
        <f>"X"&amp;C128</f>
        <v>X60</v>
      </c>
      <c r="C128">
        <f>C127+1</f>
        <v>60</v>
      </c>
      <c r="D128" s="2">
        <v>-12.44</v>
      </c>
      <c r="E128" s="2">
        <v>10871</v>
      </c>
      <c r="F128" s="2">
        <v>46.9562424629178</v>
      </c>
      <c r="G128" s="2">
        <v>361.47704810457401</v>
      </c>
      <c r="H128" s="21">
        <v>0.993906654722852</v>
      </c>
      <c r="I128" s="21">
        <v>0.948540639514171</v>
      </c>
      <c r="J128" s="21">
        <v>0.98790859896266903</v>
      </c>
      <c r="K128" s="21">
        <v>0.948540639514171</v>
      </c>
    </row>
    <row r="129" spans="2:69" x14ac:dyDescent="0.3">
      <c r="B129" t="str">
        <f>"X"&amp;C129</f>
        <v>X61</v>
      </c>
      <c r="C129">
        <f>C128+1</f>
        <v>61</v>
      </c>
      <c r="D129" s="2">
        <v>-9.2493000000000006E-2</v>
      </c>
      <c r="E129" s="2">
        <v>1266.8</v>
      </c>
      <c r="F129" s="2">
        <v>10.5377423515692</v>
      </c>
      <c r="G129" s="2">
        <v>33.707583043309498</v>
      </c>
      <c r="H129" s="21">
        <v>0.99222383475650799</v>
      </c>
      <c r="I129" s="21">
        <v>0.89214913332559098</v>
      </c>
      <c r="J129" s="21">
        <v>0.99204264401185704</v>
      </c>
      <c r="K129" s="21">
        <v>0.89214913332559098</v>
      </c>
    </row>
    <row r="130" spans="2:69" x14ac:dyDescent="0.3">
      <c r="B130" t="str">
        <f>"X"&amp;C130</f>
        <v>X62</v>
      </c>
      <c r="C130">
        <f>C129+1</f>
        <v>62</v>
      </c>
      <c r="D130" s="2">
        <v>-236.53</v>
      </c>
      <c r="E130" s="2">
        <v>451380</v>
      </c>
      <c r="F130" s="2">
        <v>269.25479777855702</v>
      </c>
      <c r="G130" s="2">
        <v>6960.3506424431398</v>
      </c>
      <c r="H130" s="21">
        <v>0.99646442608797303</v>
      </c>
      <c r="I130" s="21">
        <v>0.99240829574404499</v>
      </c>
      <c r="J130" s="21">
        <v>0.99589106690398199</v>
      </c>
      <c r="K130" s="21">
        <v>0.99240829574404499</v>
      </c>
    </row>
    <row r="131" spans="2:69" x14ac:dyDescent="0.3">
      <c r="B131" t="str">
        <f>"X"&amp;C131</f>
        <v>X63</v>
      </c>
      <c r="C131">
        <f>C130+1</f>
        <v>63</v>
      </c>
      <c r="D131" s="2">
        <v>-1.5431999999999999</v>
      </c>
      <c r="E131" s="2">
        <v>7641.3</v>
      </c>
      <c r="F131" s="2">
        <v>9.5199596004246096</v>
      </c>
      <c r="G131" s="2">
        <v>115.058606066243</v>
      </c>
      <c r="H131" s="21">
        <v>0.99322601903159802</v>
      </c>
      <c r="I131" s="21">
        <v>0.90815112714786494</v>
      </c>
      <c r="J131" s="21">
        <v>0.99432889466517904</v>
      </c>
      <c r="K131" s="21">
        <v>0.90815112714786494</v>
      </c>
    </row>
    <row r="132" spans="2:69" x14ac:dyDescent="0.3">
      <c r="B132" t="str">
        <f>"X"&amp;C132</f>
        <v>X64</v>
      </c>
      <c r="C132">
        <f>C131+1</f>
        <v>64</v>
      </c>
      <c r="D132" s="2">
        <v>-3.7265000000000001</v>
      </c>
      <c r="E132" s="2">
        <v>158180</v>
      </c>
      <c r="F132" s="2">
        <v>61.363064901787801</v>
      </c>
      <c r="G132" s="2">
        <v>2348.4049916205699</v>
      </c>
      <c r="H132" s="21">
        <v>0.99674791884580705</v>
      </c>
      <c r="I132" s="21">
        <v>0.99450149164875501</v>
      </c>
      <c r="J132" s="21">
        <v>0.99644049088408904</v>
      </c>
      <c r="K132" s="21">
        <v>0.99450149164875501</v>
      </c>
    </row>
    <row r="133" spans="2:69" x14ac:dyDescent="0.3">
      <c r="F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2:69" x14ac:dyDescent="0.3">
      <c r="F134" s="1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2:69" x14ac:dyDescent="0.3">
      <c r="F135" s="1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2:69" x14ac:dyDescent="0.3">
      <c r="F136" s="1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2:69" x14ac:dyDescent="0.3">
      <c r="F137" s="1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2:69" x14ac:dyDescent="0.3">
      <c r="F138" s="1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2:69" x14ac:dyDescent="0.3">
      <c r="F139" s="1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2:69" x14ac:dyDescent="0.3">
      <c r="F140" s="1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2:69" x14ac:dyDescent="0.3">
      <c r="F141" s="1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</sheetData>
  <mergeCells count="6">
    <mergeCell ref="D67:G67"/>
    <mergeCell ref="H67:K67"/>
    <mergeCell ref="D46:G46"/>
    <mergeCell ref="H46:K46"/>
    <mergeCell ref="F1:I1"/>
    <mergeCell ref="D1:E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Hegler Tissot</dc:creator>
  <cp:lastModifiedBy>Hegler Tissot</cp:lastModifiedBy>
  <dcterms:created xsi:type="dcterms:W3CDTF">2015-06-05T18:17:20Z</dcterms:created>
  <dcterms:modified xsi:type="dcterms:W3CDTF">2025-06-21T12:00:30Z</dcterms:modified>
</cp:coreProperties>
</file>